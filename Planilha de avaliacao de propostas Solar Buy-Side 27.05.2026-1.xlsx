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EstaPastaDeTrabalho"/>
  <mc:AlternateContent xmlns:mc="http://schemas.openxmlformats.org/markup-compatibility/2006">
    <mc:Choice Requires="x15">
      <x15ac:absPath xmlns:x15ac="http://schemas.microsoft.com/office/spreadsheetml/2010/11/ac" url="C:\Users\gabfe\Downloads\"/>
    </mc:Choice>
  </mc:AlternateContent>
  <xr:revisionPtr revIDLastSave="0" documentId="8_{98A4F0C0-BF5E-4133-87B5-3B67C7FC993A}" xr6:coauthVersionLast="47" xr6:coauthVersionMax="47" xr10:uidLastSave="{00000000-0000-0000-0000-000000000000}"/>
  <bookViews>
    <workbookView xWindow="-120" yWindow="-120" windowWidth="29040" windowHeight="15720" tabRatio="938" activeTab="2" xr2:uid="{00000000-000D-0000-FFFF-FFFF00000000}"/>
  </bookViews>
  <sheets>
    <sheet name="🏠 Início" sheetId="10" r:id="rId1"/>
    <sheet name="Form. Empresa" sheetId="11" r:id="rId2"/>
    <sheet name="Avaliação Empresas" sheetId="1" r:id="rId3"/>
    <sheet name="Form. Tecnológico" sheetId="12" r:id="rId4"/>
    <sheet name="Avaliação Tecnológica" sheetId="2" r:id="rId5"/>
    <sheet name="Form. Financeiro" sheetId="13" r:id="rId6"/>
    <sheet name="Viabilidade Financeira" sheetId="3" r:id="rId7"/>
    <sheet name="Pontuação Geral" sheetId="4" r:id="rId8"/>
    <sheet name="Critérios de Pontuação" sheetId="8" state="hidden" r:id="rId9"/>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L31" i="2" l="1"/>
  <c r="L30" i="2"/>
  <c r="L29" i="2"/>
  <c r="J31" i="2"/>
  <c r="J30" i="2"/>
  <c r="J29" i="2"/>
  <c r="H31" i="2"/>
  <c r="H30" i="2"/>
  <c r="H29" i="2"/>
  <c r="F31" i="2"/>
  <c r="F30" i="2"/>
  <c r="F29" i="2"/>
  <c r="D31" i="2"/>
  <c r="D30" i="2"/>
  <c r="D29" i="2"/>
  <c r="B31" i="2"/>
  <c r="B30" i="2"/>
  <c r="B29" i="2"/>
  <c r="L23" i="1"/>
  <c r="J23" i="1"/>
  <c r="H23" i="1"/>
  <c r="F23" i="1"/>
  <c r="D23" i="1"/>
  <c r="B23" i="1"/>
  <c r="C5" i="4"/>
  <c r="D14" i="2"/>
  <c r="K35" i="2"/>
  <c r="A15" i="4"/>
  <c r="A22" i="10"/>
  <c r="A23" i="10"/>
  <c r="N19" i="10"/>
  <c r="N18" i="10"/>
  <c r="H19" i="10"/>
  <c r="H18" i="10"/>
  <c r="B19" i="10"/>
  <c r="B18" i="10"/>
  <c r="M24" i="1"/>
  <c r="K24" i="1"/>
  <c r="I24" i="1"/>
  <c r="G24" i="1"/>
  <c r="E24" i="1"/>
  <c r="C24" i="1"/>
  <c r="B13" i="3"/>
  <c r="B6" i="4" s="1"/>
  <c r="G5" i="4"/>
  <c r="F5" i="4"/>
  <c r="E5" i="4"/>
  <c r="D5" i="4"/>
  <c r="B5" i="4"/>
  <c r="L5" i="2"/>
  <c r="J5" i="2"/>
  <c r="H5" i="2"/>
  <c r="F5" i="2"/>
  <c r="D5" i="2"/>
  <c r="B5" i="2"/>
  <c r="L5" i="1"/>
  <c r="J5" i="1"/>
  <c r="H5" i="1"/>
  <c r="F5" i="1"/>
  <c r="D5" i="1"/>
  <c r="B5" i="1"/>
  <c r="B5" i="3"/>
  <c r="C5" i="3"/>
  <c r="D5" i="3"/>
  <c r="E5" i="3"/>
  <c r="F5" i="3"/>
  <c r="G5" i="3"/>
  <c r="M37" i="2"/>
  <c r="M36" i="2"/>
  <c r="K37" i="2"/>
  <c r="K36" i="2"/>
  <c r="I37" i="2"/>
  <c r="I36" i="2"/>
  <c r="G37" i="2"/>
  <c r="G36" i="2"/>
  <c r="E37" i="2"/>
  <c r="E36" i="2"/>
  <c r="C37" i="2"/>
  <c r="C36" i="2"/>
  <c r="M26" i="1"/>
  <c r="M25" i="1"/>
  <c r="K26" i="1"/>
  <c r="K25" i="1"/>
  <c r="I26" i="1"/>
  <c r="I25" i="1"/>
  <c r="G26" i="1"/>
  <c r="G25" i="1"/>
  <c r="E26" i="1"/>
  <c r="E25" i="1"/>
  <c r="C26" i="1"/>
  <c r="C25" i="1"/>
  <c r="C124" i="13"/>
  <c r="C101" i="13"/>
  <c r="C78" i="13"/>
  <c r="C55" i="13"/>
  <c r="C32" i="13"/>
  <c r="C9" i="13"/>
  <c r="C179" i="12"/>
  <c r="C145" i="12"/>
  <c r="C111" i="12"/>
  <c r="C77" i="12"/>
  <c r="C43" i="12"/>
  <c r="C9" i="12"/>
  <c r="G26" i="3"/>
  <c r="G25" i="3"/>
  <c r="G24" i="3"/>
  <c r="G22" i="3"/>
  <c r="G20" i="3"/>
  <c r="G19" i="3"/>
  <c r="G17" i="3"/>
  <c r="G16" i="3"/>
  <c r="G15" i="3"/>
  <c r="G13" i="3"/>
  <c r="G6" i="4" s="1"/>
  <c r="G11" i="3"/>
  <c r="G10" i="3"/>
  <c r="G9" i="3"/>
  <c r="G8" i="3"/>
  <c r="G7" i="3"/>
  <c r="F26" i="3"/>
  <c r="F25" i="3"/>
  <c r="F24" i="3"/>
  <c r="F22" i="3"/>
  <c r="F20" i="3"/>
  <c r="F19" i="3"/>
  <c r="F17" i="3"/>
  <c r="F16" i="3"/>
  <c r="F15" i="3"/>
  <c r="F13" i="3"/>
  <c r="F6" i="4" s="1"/>
  <c r="F11" i="3"/>
  <c r="F10" i="3"/>
  <c r="F9" i="3"/>
  <c r="F8" i="3"/>
  <c r="F7" i="3"/>
  <c r="E26" i="3"/>
  <c r="E25" i="3"/>
  <c r="E24" i="3"/>
  <c r="E22" i="3"/>
  <c r="E20" i="3"/>
  <c r="E19" i="3"/>
  <c r="E17" i="3"/>
  <c r="E16" i="3"/>
  <c r="E15" i="3"/>
  <c r="E13" i="3"/>
  <c r="E6" i="4" s="1"/>
  <c r="E11" i="3"/>
  <c r="E10" i="3"/>
  <c r="E9" i="3"/>
  <c r="E8" i="3"/>
  <c r="E7" i="3"/>
  <c r="D26" i="3"/>
  <c r="D25" i="3"/>
  <c r="D24" i="3"/>
  <c r="D22" i="3"/>
  <c r="D20" i="3"/>
  <c r="D19" i="3"/>
  <c r="D17" i="3"/>
  <c r="D16" i="3"/>
  <c r="D15" i="3"/>
  <c r="D13" i="3"/>
  <c r="D6" i="4" s="1"/>
  <c r="D11" i="3"/>
  <c r="D10" i="3"/>
  <c r="D9" i="3"/>
  <c r="D8" i="3"/>
  <c r="D7" i="3"/>
  <c r="C26" i="3"/>
  <c r="C25" i="3"/>
  <c r="C24" i="3"/>
  <c r="C22" i="3"/>
  <c r="C20" i="3"/>
  <c r="C19" i="3"/>
  <c r="C17" i="3"/>
  <c r="C16" i="3"/>
  <c r="C15" i="3"/>
  <c r="C13" i="3"/>
  <c r="C6" i="4" s="1"/>
  <c r="C11" i="3"/>
  <c r="C10" i="3"/>
  <c r="C9" i="3"/>
  <c r="C8" i="3"/>
  <c r="C7" i="3"/>
  <c r="B26" i="3"/>
  <c r="B25" i="3"/>
  <c r="B24" i="3"/>
  <c r="B22" i="3"/>
  <c r="B20" i="3"/>
  <c r="B19" i="3"/>
  <c r="B17" i="3"/>
  <c r="B16" i="3"/>
  <c r="B15" i="3"/>
  <c r="B11" i="3"/>
  <c r="B10" i="3"/>
  <c r="B9" i="3"/>
  <c r="B8" i="3"/>
  <c r="B7" i="3"/>
  <c r="L34" i="2"/>
  <c r="L33" i="2"/>
  <c r="L32" i="2"/>
  <c r="L26" i="2"/>
  <c r="L24" i="2"/>
  <c r="L23" i="2"/>
  <c r="L22" i="2"/>
  <c r="L21" i="2"/>
  <c r="L19" i="2"/>
  <c r="L18" i="2"/>
  <c r="L17" i="2"/>
  <c r="L16" i="2"/>
  <c r="L15" i="2"/>
  <c r="L14" i="2"/>
  <c r="L13" i="2"/>
  <c r="L12" i="2"/>
  <c r="L10" i="2"/>
  <c r="L9" i="2"/>
  <c r="L7" i="2"/>
  <c r="J34" i="2"/>
  <c r="J33" i="2"/>
  <c r="J32" i="2"/>
  <c r="J26" i="2"/>
  <c r="J24" i="2"/>
  <c r="J23" i="2"/>
  <c r="J22" i="2"/>
  <c r="J21" i="2"/>
  <c r="J19" i="2"/>
  <c r="J18" i="2"/>
  <c r="J17" i="2"/>
  <c r="J16" i="2"/>
  <c r="J15" i="2"/>
  <c r="J14" i="2"/>
  <c r="J13" i="2"/>
  <c r="J12" i="2"/>
  <c r="J10" i="2"/>
  <c r="J9" i="2"/>
  <c r="J7" i="2"/>
  <c r="H34" i="2"/>
  <c r="H33" i="2"/>
  <c r="H32" i="2"/>
  <c r="H26" i="2"/>
  <c r="H24" i="2"/>
  <c r="H23" i="2"/>
  <c r="H22" i="2"/>
  <c r="H21" i="2"/>
  <c r="H19" i="2"/>
  <c r="H18" i="2"/>
  <c r="H17" i="2"/>
  <c r="H16" i="2"/>
  <c r="H15" i="2"/>
  <c r="H14" i="2"/>
  <c r="H13" i="2"/>
  <c r="H12" i="2"/>
  <c r="H10" i="2"/>
  <c r="H9" i="2"/>
  <c r="H7" i="2"/>
  <c r="F34" i="2"/>
  <c r="F33" i="2"/>
  <c r="F32" i="2"/>
  <c r="F26" i="2"/>
  <c r="F24" i="2"/>
  <c r="F23" i="2"/>
  <c r="F22" i="2"/>
  <c r="F21" i="2"/>
  <c r="F19" i="2"/>
  <c r="F18" i="2"/>
  <c r="F17" i="2"/>
  <c r="F16" i="2"/>
  <c r="F15" i="2"/>
  <c r="F14" i="2"/>
  <c r="F13" i="2"/>
  <c r="F12" i="2"/>
  <c r="F10" i="2"/>
  <c r="F9" i="2"/>
  <c r="F7" i="2"/>
  <c r="D34" i="2"/>
  <c r="D33" i="2"/>
  <c r="D32" i="2"/>
  <c r="D26" i="2"/>
  <c r="D24" i="2"/>
  <c r="D23" i="2"/>
  <c r="D22" i="2"/>
  <c r="D21" i="2"/>
  <c r="D19" i="2"/>
  <c r="D18" i="2"/>
  <c r="D17" i="2"/>
  <c r="D16" i="2"/>
  <c r="D15" i="2"/>
  <c r="D13" i="2"/>
  <c r="D12" i="2"/>
  <c r="D10" i="2"/>
  <c r="D9" i="2"/>
  <c r="D7" i="2"/>
  <c r="B34" i="2"/>
  <c r="B33" i="2"/>
  <c r="B32" i="2"/>
  <c r="B26" i="2"/>
  <c r="C35" i="2" s="1"/>
  <c r="B24" i="2"/>
  <c r="B23" i="2"/>
  <c r="B22" i="2"/>
  <c r="B21" i="2"/>
  <c r="B19" i="2"/>
  <c r="B18" i="2"/>
  <c r="B17" i="2"/>
  <c r="B16" i="2"/>
  <c r="B15" i="2"/>
  <c r="B14" i="2"/>
  <c r="B13" i="2"/>
  <c r="B12" i="2"/>
  <c r="B10" i="2"/>
  <c r="B9" i="2"/>
  <c r="B7" i="2"/>
  <c r="L22" i="1"/>
  <c r="L20" i="1"/>
  <c r="L18" i="1"/>
  <c r="L17" i="1"/>
  <c r="L15" i="1"/>
  <c r="L14" i="1"/>
  <c r="L12" i="1"/>
  <c r="L11" i="1"/>
  <c r="L10" i="1"/>
  <c r="L9" i="1"/>
  <c r="L8" i="1"/>
  <c r="L7" i="1"/>
  <c r="J22" i="1"/>
  <c r="J20" i="1"/>
  <c r="J18" i="1"/>
  <c r="J17" i="1"/>
  <c r="J15" i="1"/>
  <c r="J14" i="1"/>
  <c r="J12" i="1"/>
  <c r="J11" i="1"/>
  <c r="J10" i="1"/>
  <c r="J9" i="1"/>
  <c r="J8" i="1"/>
  <c r="J7" i="1"/>
  <c r="H22" i="1"/>
  <c r="H20" i="1"/>
  <c r="H18" i="1"/>
  <c r="H17" i="1"/>
  <c r="H15" i="1"/>
  <c r="H14" i="1"/>
  <c r="H12" i="1"/>
  <c r="H11" i="1"/>
  <c r="H10" i="1"/>
  <c r="H9" i="1"/>
  <c r="H8" i="1"/>
  <c r="H7" i="1"/>
  <c r="F22" i="1"/>
  <c r="F20" i="1"/>
  <c r="F18" i="1"/>
  <c r="F17" i="1"/>
  <c r="F15" i="1"/>
  <c r="F14" i="1"/>
  <c r="F12" i="1"/>
  <c r="F11" i="1"/>
  <c r="F10" i="1"/>
  <c r="F9" i="1"/>
  <c r="F8" i="1"/>
  <c r="F7" i="1"/>
  <c r="D22" i="1"/>
  <c r="D20" i="1"/>
  <c r="D18" i="1"/>
  <c r="D17" i="1"/>
  <c r="D15" i="1"/>
  <c r="D14" i="1"/>
  <c r="D12" i="1"/>
  <c r="D11" i="1"/>
  <c r="D10" i="1"/>
  <c r="D9" i="1"/>
  <c r="D8" i="1"/>
  <c r="D7" i="1"/>
  <c r="B22" i="1"/>
  <c r="B20" i="1"/>
  <c r="B18" i="1"/>
  <c r="B17" i="1"/>
  <c r="B15" i="1"/>
  <c r="B14" i="1"/>
  <c r="B12" i="1"/>
  <c r="B11" i="1"/>
  <c r="B10" i="1"/>
  <c r="B9" i="1"/>
  <c r="B8" i="1"/>
  <c r="B7" i="1"/>
  <c r="M35" i="2" l="1"/>
  <c r="G9" i="4" s="1"/>
  <c r="G10" i="4" s="1"/>
  <c r="I35" i="2"/>
  <c r="E9" i="4" s="1"/>
  <c r="E10" i="4" s="1"/>
  <c r="G35" i="2"/>
  <c r="D9" i="4" s="1"/>
  <c r="D10" i="4" s="1"/>
  <c r="E35" i="2"/>
  <c r="C9" i="4" s="1"/>
  <c r="C10" i="4" s="1"/>
  <c r="E7" i="4"/>
  <c r="E8" i="4" s="1"/>
  <c r="F9" i="4"/>
  <c r="F10" i="4" s="1"/>
  <c r="B9" i="4"/>
  <c r="B10" i="4" s="1"/>
  <c r="G7" i="4"/>
  <c r="F7" i="4"/>
  <c r="D7" i="4"/>
  <c r="C7" i="4"/>
  <c r="C8" i="4" s="1"/>
  <c r="B7" i="4"/>
  <c r="D11" i="4" l="1"/>
  <c r="D12" i="4" s="1"/>
  <c r="G11" i="4"/>
  <c r="G12" i="4" s="1"/>
  <c r="F11" i="4"/>
  <c r="E11" i="4"/>
  <c r="B11" i="4"/>
  <c r="G8" i="4"/>
  <c r="F8" i="4"/>
  <c r="D8" i="4"/>
  <c r="C11" i="4"/>
  <c r="B8" i="4"/>
  <c r="B12" i="4" l="1"/>
  <c r="F12" i="4"/>
  <c r="E12" i="4"/>
  <c r="C12" i="4"/>
</calcChain>
</file>

<file path=xl/sharedStrings.xml><?xml version="1.0" encoding="utf-8"?>
<sst xmlns="http://schemas.openxmlformats.org/spreadsheetml/2006/main" count="858" uniqueCount="359">
  <si>
    <t>Item</t>
  </si>
  <si>
    <t>P</t>
  </si>
  <si>
    <t>A empresa de solar</t>
  </si>
  <si>
    <t>Atuação no ramo solar</t>
  </si>
  <si>
    <t>Ano de abertura da empresa</t>
  </si>
  <si>
    <t>Registro CREA engenharia elétrica</t>
  </si>
  <si>
    <t>Sim</t>
  </si>
  <si>
    <t>Ano de colação de grau do engenheiro</t>
  </si>
  <si>
    <t>Quantidade de SFV instalado</t>
  </si>
  <si>
    <t>Instalações são feitas por funcionário próprio</t>
  </si>
  <si>
    <t>Não</t>
  </si>
  <si>
    <t>Comprometimento da empresa</t>
  </si>
  <si>
    <t>Prazo de instalação do sistema solar</t>
  </si>
  <si>
    <t>60 dias</t>
  </si>
  <si>
    <t>Garantia contra defeito de projeto e execução do sistema solar (prazo)</t>
  </si>
  <si>
    <t>3 anos</t>
  </si>
  <si>
    <t>Assistência técnica &amp; manutenção</t>
  </si>
  <si>
    <t>Apresentou prova de serviço de manutenção e assistência</t>
  </si>
  <si>
    <t>Prazo de assistência técnica (dias)</t>
  </si>
  <si>
    <t>6 dias</t>
  </si>
  <si>
    <t>Final da instalação</t>
  </si>
  <si>
    <t>Entrega cópia do memorial descritivo do projeto e diagrama unifilar</t>
  </si>
  <si>
    <t>Avaliação do vendedor pelo comprador</t>
  </si>
  <si>
    <t>Sinta empatia com o vendedor</t>
  </si>
  <si>
    <t>TOTAL DA PONTUAÇÃO</t>
  </si>
  <si>
    <t>Sistema solar fotovoltaico</t>
  </si>
  <si>
    <t>Potência do sistema (kWp - Kilo Watt pico)</t>
  </si>
  <si>
    <t>6,435 kWp</t>
  </si>
  <si>
    <t>Estimação de geração de energia</t>
  </si>
  <si>
    <t>Geração mensal média (kWh)</t>
  </si>
  <si>
    <t>Geração anual (kWh)</t>
  </si>
  <si>
    <t>Módulo fotovoltaico</t>
  </si>
  <si>
    <t>Marca</t>
  </si>
  <si>
    <t>HANERSUN</t>
  </si>
  <si>
    <t>Modelo</t>
  </si>
  <si>
    <t>HN18N-72H</t>
  </si>
  <si>
    <t>Potência módulo (watt)</t>
  </si>
  <si>
    <t>Peso (kg)</t>
  </si>
  <si>
    <t>28,5 kg</t>
  </si>
  <si>
    <t>Eficiência de conversão de radiação (%)</t>
  </si>
  <si>
    <t>22,6%</t>
  </si>
  <si>
    <t>Eficiência aos 25 ou 30 anos</t>
  </si>
  <si>
    <t>Garantia contra defeito (anos)</t>
  </si>
  <si>
    <t>12 anos</t>
  </si>
  <si>
    <t>Garantia de eficiência (25 ou 30 anos)</t>
  </si>
  <si>
    <t>25 anos</t>
  </si>
  <si>
    <t>Inversor de corrente</t>
  </si>
  <si>
    <t>GOODWE</t>
  </si>
  <si>
    <t>Potência (KW = Kilo Watt)</t>
  </si>
  <si>
    <t>5 KW</t>
  </si>
  <si>
    <t>Sobrecarga do inversor</t>
  </si>
  <si>
    <t>1,28 ou 28%</t>
  </si>
  <si>
    <t>Inversor de corrente (sim/não/não sei)</t>
  </si>
  <si>
    <t>Módulo fotovoltaico (sim/não/não sei)</t>
  </si>
  <si>
    <t>Distribuidora de equipamento (sim/não/não sei)</t>
  </si>
  <si>
    <t>COMPARATIVO DAS VIABILIDADES ECONÔMICO-FINANCEIRAS DAS PROPOSTAS COMERCIAIS</t>
  </si>
  <si>
    <t>ITEM</t>
  </si>
  <si>
    <t>Sua conta com e sem energia solar</t>
  </si>
  <si>
    <t>Sem energia solar (mês)</t>
  </si>
  <si>
    <t>Com energia solar (mês)</t>
  </si>
  <si>
    <t>Economia mensal ano 1</t>
  </si>
  <si>
    <t>Economia ano 1</t>
  </si>
  <si>
    <t>Economia 25/30 anos</t>
  </si>
  <si>
    <t>Valor de venda e instalação do sistema solar</t>
  </si>
  <si>
    <t>Valor de investimento</t>
  </si>
  <si>
    <t>Condição de pagamentos</t>
  </si>
  <si>
    <t>Entrada (R$)</t>
  </si>
  <si>
    <t>Entrega equipamento (R$)</t>
  </si>
  <si>
    <t>Final de serviços (R$)</t>
  </si>
  <si>
    <t>Prazo de retorno e rentabilidade do capital</t>
  </si>
  <si>
    <t>Prazo de retorno (simples)</t>
  </si>
  <si>
    <t>31 meses</t>
  </si>
  <si>
    <t>Rentabilidade do capital anual</t>
  </si>
  <si>
    <t>Rentabilidade do capital mensal</t>
  </si>
  <si>
    <t>3,15% ao mês</t>
  </si>
  <si>
    <t>ROI</t>
  </si>
  <si>
    <t>Não informado</t>
  </si>
  <si>
    <t>Indicadores econômicos e técnicos considerados nas análises de viabilidades</t>
  </si>
  <si>
    <t>Fator de simultaneidade</t>
  </si>
  <si>
    <t>Inflação anual de energia (% ano)</t>
  </si>
  <si>
    <t>Confiabilidade da viabilidade (alta/média/baixa/não sei)</t>
  </si>
  <si>
    <t>Investimentos</t>
  </si>
  <si>
    <t>Nota sobre 10</t>
  </si>
  <si>
    <t>Pontos Máx</t>
  </si>
  <si>
    <t>Critério de pontuação</t>
  </si>
  <si>
    <t>Atuação no ramo solar (anos)</t>
  </si>
  <si>
    <t>1 pt por ano de atuação, máx 10</t>
  </si>
  <si>
    <t>5 se &gt;10 anos | 3 se 5-10 anos | 1 se &lt;5 anos</t>
  </si>
  <si>
    <t>Memorial descritivo e diagrama unifilar</t>
  </si>
  <si>
    <t>Potência do sistema (kWp)</t>
  </si>
  <si>
    <t>Pontuação proporcional ao kWp ofertado vs necessidade</t>
  </si>
  <si>
    <t>Módulo — Marca</t>
  </si>
  <si>
    <t>Módulo — Modelo</t>
  </si>
  <si>
    <t>Módulo — Peso (kg)</t>
  </si>
  <si>
    <t>Eficiência aos 25/30 anos</t>
  </si>
  <si>
    <t>Garantia de eficiência (anos)</t>
  </si>
  <si>
    <t>Inversor — Marca</t>
  </si>
  <si>
    <t>Inversor — Modelo</t>
  </si>
  <si>
    <t>Inversor — Potência (kW)</t>
  </si>
  <si>
    <t>Inversor — Garantia (anos)</t>
  </si>
  <si>
    <t>?</t>
  </si>
  <si>
    <t>AVALIAÇÃO DE PROPOSTAS COMERCIAIS DE SISTEMA SOLAR</t>
  </si>
  <si>
    <t>📍 POR ONDE COMEÇAR</t>
  </si>
  <si>
    <t>🏢</t>
  </si>
  <si>
    <t>⚙️</t>
  </si>
  <si>
    <t>💰</t>
  </si>
  <si>
    <t>Avaliação da Empresa</t>
  </si>
  <si>
    <t>Proposta Técnica</t>
  </si>
  <si>
    <t>Viabilidade Financeira</t>
  </si>
  <si>
    <t>🏆 RESULTADO FINAL</t>
  </si>
  <si>
    <t>📋 EMPRESA 1</t>
  </si>
  <si>
    <t>🏢 A EMPRESA</t>
  </si>
  <si>
    <t>Atuação no ramo solar desde (ano)</t>
  </si>
  <si>
    <t>Registro CREA engenharia elétrica (sim/não)</t>
  </si>
  <si>
    <t>Colação de Grau do Engenheiro responsável (ano)</t>
  </si>
  <si>
    <t>Quantidade de SFV instalado (aproximadamente)</t>
  </si>
  <si>
    <t>Instalações são realizadas por funcionário próprio (sim/não)</t>
  </si>
  <si>
    <t>✅ COMPROMETIMENTO DA EMPRESA</t>
  </si>
  <si>
    <t>Prazo máximo de instalação do sistema solar (dias ou semanas)</t>
  </si>
  <si>
    <t>Garantia contra defeito de projeto e execução (anos)</t>
  </si>
  <si>
    <t>🛠️ ASSISTÊNCIA TÉCNICA E MANUTENÇÃO</t>
  </si>
  <si>
    <t>Existência de serviço de manutenção e assistência (sim/não)</t>
  </si>
  <si>
    <t>📄 ENTREGA DE DOCUMENTOS TÉCNICOS</t>
  </si>
  <si>
    <t>Entregue cópia do memorial descritivo e diagrama unifilar (sim/não)</t>
  </si>
  <si>
    <t>🤝 AVALIAÇÃO DO VENDEDOR PELO COMPRADOR</t>
  </si>
  <si>
    <t>Sentiu empatia e confiança com o vendedor (sim/não)</t>
  </si>
  <si>
    <t>📋 EMPRESA 2</t>
  </si>
  <si>
    <t>📋 EMPRESA 3</t>
  </si>
  <si>
    <t>📋 EMPRESA 4</t>
  </si>
  <si>
    <t>📋 EMPRESA 5</t>
  </si>
  <si>
    <t>📋 EMPRESA 6</t>
  </si>
  <si>
    <t>🏠 Voltar ao Início</t>
  </si>
  <si>
    <t>+ de 100</t>
  </si>
  <si>
    <t>⚙️ EMPRESA 1</t>
  </si>
  <si>
    <t>☀️ SISTEMA SOLAR FOTOVOLTAICO</t>
  </si>
  <si>
    <t>⚡ ESTIMATIVA DE GERAÇÃO DE ENERGIA</t>
  </si>
  <si>
    <t>🔆 MÓDULO FOTOVOLTAICO</t>
  </si>
  <si>
    <t>Potência do módulo (watts)</t>
  </si>
  <si>
    <t>Número de módulos</t>
  </si>
  <si>
    <t>🔌 INVERSOR DE CORRENTE</t>
  </si>
  <si>
    <t>Potência (kW)</t>
  </si>
  <si>
    <t>Número de inversores</t>
  </si>
  <si>
    <t>📐 SOBRECARGA DO INVERSOR (comum entre 1,25 a 1,35)</t>
  </si>
  <si>
    <t>Sobrecarga calculada (kWp / kW)</t>
  </si>
  <si>
    <t>🔍 RECLAME AQUI — Reputação dos últimos 12 meses</t>
  </si>
  <si>
    <t>Distribuidora de sistema solar fotovoltaico</t>
  </si>
  <si>
    <t>Fabricante de módulo fotovoltaico</t>
  </si>
  <si>
    <t>Fabricante de inversor de corrente</t>
  </si>
  <si>
    <t>✅ CONFIABILIDADE DOS FABRICANTES (sim/não/não sei)</t>
  </si>
  <si>
    <t>Distribuidora de equipamento</t>
  </si>
  <si>
    <t>⚙️ EMPRESA 2</t>
  </si>
  <si>
    <t>⚙️ EMPRESA 3</t>
  </si>
  <si>
    <t>⚙️ EMPRESA 4</t>
  </si>
  <si>
    <t>⚙️ EMPRESA 5</t>
  </si>
  <si>
    <t>⚙️ EMPRESA 6</t>
  </si>
  <si>
    <t>727 kWh/mês</t>
  </si>
  <si>
    <t>8.732 kWh/ano</t>
  </si>
  <si>
    <t>585 W</t>
  </si>
  <si>
    <t>85,0% (25 anos)</t>
  </si>
  <si>
    <t>GW5000 DNS 30</t>
  </si>
  <si>
    <t>Não sei</t>
  </si>
  <si>
    <t>💰 EMPRESA 1</t>
  </si>
  <si>
    <t>📈 SUA CONTA DE ENERGIA</t>
  </si>
  <si>
    <t>Sem energia solar (R$/mês)</t>
  </si>
  <si>
    <t>Com energia solar (R$/mês)</t>
  </si>
  <si>
    <t>Economia mensal no primeiro ano (R$)</t>
  </si>
  <si>
    <t>Economia no primeiro ano (R$)</t>
  </si>
  <si>
    <t>Economia acumulada em 25 anos (R$)</t>
  </si>
  <si>
    <t>💵 VALOR DE VENDA E INSTALAÇÃO TOTAL DO SISTEMA SOLAR</t>
  </si>
  <si>
    <t>Preço total (R$)</t>
  </si>
  <si>
    <t>💳 CONDIÇÃO DE PAGAMENTOS</t>
  </si>
  <si>
    <t>Entrada — no ato da compra (R$)</t>
  </si>
  <si>
    <t>Entrega de equipamentos (R$)</t>
  </si>
  <si>
    <t>Instalação — serviço final (R$)</t>
  </si>
  <si>
    <t>⏱️ PRAZO DE RETORNO E RENTABILIDADE DO CAPITAL</t>
  </si>
  <si>
    <t>Payback (simples) — anos e meses</t>
  </si>
  <si>
    <t>Rentabilidade do capital em 1 ano (%)</t>
  </si>
  <si>
    <t>ROI (multiplicação por X vezes)</t>
  </si>
  <si>
    <t>📊 ÍNDICE DE INFLAÇÃO E FATOR DE SIMULTANEIDADE</t>
  </si>
  <si>
    <t>Índice de inflação de energia estimado 25 anos (% ao ano)</t>
  </si>
  <si>
    <t>Fator de simultaneidade considerado (%)</t>
  </si>
  <si>
    <t>💰 EMPRESA 2</t>
  </si>
  <si>
    <t>💰 EMPRESA 3</t>
  </si>
  <si>
    <t>💰 EMPRESA 4</t>
  </si>
  <si>
    <t>💰 EMPRESA 5</t>
  </si>
  <si>
    <t>💰 EMPRESA 6</t>
  </si>
  <si>
    <t>37,80%</t>
  </si>
  <si>
    <t>7% ao ano</t>
  </si>
  <si>
    <t>Baixa</t>
  </si>
  <si>
    <t>📌 Empresa (preenchida automaticamente)</t>
  </si>
  <si>
    <t>🏢 PASSO 1 de 3 — AVALIAÇÃO DA EMPRESA DE SOLAR</t>
  </si>
  <si>
    <t>⚙️ PASSO 2 de 3 — AVALIAÇÃO DA PROPOSTA TÉCNICA</t>
  </si>
  <si>
    <t>💰 PASSO 3 de 3 — VIABILIDADE ECONÔMICO-FINANCEIRA</t>
  </si>
  <si>
    <t>Próximo: ⚙️ PASSO 2 →</t>
  </si>
  <si>
    <t>← Anterior: 🏢 PASSO 1</t>
  </si>
  <si>
    <t>Próximo: 💰 PASSO 3 →</t>
  </si>
  <si>
    <t>← Anterior: ⚙️ PASSO 2</t>
  </si>
  <si>
    <t>🏆 Ver resultado final →</t>
  </si>
  <si>
    <t>📊 Tabela 1 — Avaliação das Empresas (com pontuação)</t>
  </si>
  <si>
    <t>← Voltar ao Form. Empresa</t>
  </si>
  <si>
    <t>🏠 Início</t>
  </si>
  <si>
    <t>Próximo: Form. Tecnológico →</t>
  </si>
  <si>
    <t>📊 Tabela 2 — Avaliação Tecnológica (com pontuação)</t>
  </si>
  <si>
    <t>← Voltar ao Form. Tecnológico</t>
  </si>
  <si>
    <t>Próximo: Form. Financeiro →</t>
  </si>
  <si>
    <t>← Voltar ao Form. Financeiro</t>
  </si>
  <si>
    <t>🏆 Ver Pontuação Final →</t>
  </si>
  <si>
    <t>🏆 RESULTADO FINAL — Pontuação Geral e Finalistas</t>
  </si>
  <si>
    <t>📊 Ver Avaliação Empresas</t>
  </si>
  <si>
    <t>📊 Ver Avaliação Tecnológica</t>
  </si>
  <si>
    <t>PULAR PARA EMPRESA  ↓</t>
  </si>
  <si>
    <t>✏️  Nome da empresa</t>
  </si>
  <si>
    <t>Avaliar?</t>
  </si>
  <si>
    <t>Itens avaliados (de 13)</t>
  </si>
  <si>
    <t>Pontuação máxima possível</t>
  </si>
  <si>
    <t>Itens avaliados (de 19)</t>
  </si>
  <si>
    <t>Empresas (pontos)</t>
  </si>
  <si>
    <t>Tecnologias (pontos)</t>
  </si>
  <si>
    <t>Total (pontos)</t>
  </si>
  <si>
    <t>✅ DECISÃO DO COMPRADOR</t>
  </si>
  <si>
    <t>⏰ PREENCHA NA HORA — enquanto o vendedor apresenta a proposta. O nome digitado aqui propaga nos outros 2 formulários.</t>
  </si>
  <si>
    <t>🏠 PREENCHA EM CASA — depois de receber a proposta. Pode consultar Reclame Aqui, comparar specs, analisar com calma.</t>
  </si>
  <si>
    <t>🏠 PREENCHA EM CASA — depois de receber a proposta. Analise números, payback, condições de pagamento com tranquilidade.</t>
  </si>
  <si>
    <t>💰 Tabela 3 — Viabilidade Financeira  ·  Comparativo informativo (sem pontuação)</t>
  </si>
  <si>
    <t>CRITÉRIOS DE PONTUAÇÃO — ESCALA 1 A 10 POR ITEM</t>
  </si>
  <si>
    <t>Regra geral: cada item recebe nota de 1 a 10. Itens não avaliados podem ser desligados na coluna "Avaliar?" da tabela comparativa — o denominador da nota recalcula sozinho.</t>
  </si>
  <si>
    <t>Rubrica padrão sugerida: 10 = excelente · 8-9 = muito bom · 6-7 = bom · 4-5 = regular · 2-3 = fraco · 1 = ruim</t>
  </si>
  <si>
    <t>AVALIAÇÃO EMPRESAS — 13 itens</t>
  </si>
  <si>
    <t>Como pontuar (1 a 10)</t>
  </si>
  <si>
    <t>Observação</t>
  </si>
  <si>
    <t>10 se ≥10 anos · 7 se 5-9 · 4 se 2-4 · 1 se &lt;2</t>
  </si>
  <si>
    <t>Tempo de mercado no segmento</t>
  </si>
  <si>
    <t>10 se ≥15 anos de existência · 7 se 8-14 · 4 se 3-7 · 1 se &lt;3</t>
  </si>
  <si>
    <t>Maturidade institucional</t>
  </si>
  <si>
    <t>Registro CREA do engenheiro</t>
  </si>
  <si>
    <t>10 se Sim · 1 se Não</t>
  </si>
  <si>
    <t>Item crítico (legal)</t>
  </si>
  <si>
    <t>Ano de colação do engenheiro</t>
  </si>
  <si>
    <t>10 se ≥10 anos formado · 7 se 5-9 · 4 se 2-4 · 1 se &lt;2</t>
  </si>
  <si>
    <t>Experiência do responsável técnico</t>
  </si>
  <si>
    <t>Quantidade de SFV instalados</t>
  </si>
  <si>
    <t>10 se &gt;100 · 7 se 50-100 · 4 se 10-49 · 1 se &lt;10</t>
  </si>
  <si>
    <t>Histórico de execução</t>
  </si>
  <si>
    <t>Instalação por funcionário próprio</t>
  </si>
  <si>
    <t>10 se Sim · 5 se Terceirizado conhecido · 1 se Não</t>
  </si>
  <si>
    <t>Controle de qualidade da mão de obra</t>
  </si>
  <si>
    <t>Prazo de instalação (dias)</t>
  </si>
  <si>
    <t>10 se ≤30d · 7 se 31-45 · 4 se 46-60 · 1 se &gt;60</t>
  </si>
  <si>
    <t>Agilidade prometida</t>
  </si>
  <si>
    <t>Garantia projeto/execução (anos)</t>
  </si>
  <si>
    <t>10 se ≥5 anos · 7 se 3-4 · 4 se 1-2 · 1 se &lt;1</t>
  </si>
  <si>
    <t>Compromisso pós-venda</t>
  </si>
  <si>
    <t>Serviço de manutenção/assistência</t>
  </si>
  <si>
    <t>Disponibilidade de suporte</t>
  </si>
  <si>
    <t>10 se ≤3d · 7 se 4-7 · 4 se 8-15 · 1 se &gt;15</t>
  </si>
  <si>
    <t>Velocidade de atendimento</t>
  </si>
  <si>
    <t>Documentação técnica entregue</t>
  </si>
  <si>
    <t>Empatia/confiança com o vendedor</t>
  </si>
  <si>
    <t>Subjetivo: 1 a 10 segundo percepção do comprador</t>
  </si>
  <si>
    <t>Relacionamento comercial</t>
  </si>
  <si>
    <t>Reclame Aqui — reputação</t>
  </si>
  <si>
    <t>AVALIAÇÃO TECNOLÓGICA — 19 itens</t>
  </si>
  <si>
    <t>Proporcional à necessidade — 10 se dimensionamento ideal · menor se sub/superdimensionado</t>
  </si>
  <si>
    <t>Adequação ao consumo</t>
  </si>
  <si>
    <t>Geração mensal estimada (kWh)</t>
  </si>
  <si>
    <t>10 se cobre 100% do consumo · 7 se 80-99% · 4 se 60-79% · 1 se &lt;60%</t>
  </si>
  <si>
    <t>Atende a fatura mensal?</t>
  </si>
  <si>
    <t>Geração anual estimada (kWh)</t>
  </si>
  <si>
    <t>Mesma lógica do mensal, base anual</t>
  </si>
  <si>
    <t>Atende consumo anual?</t>
  </si>
  <si>
    <t>10 se Tier 1 reconhecida · 5 se Tier 2 · 1 se desconhecida</t>
  </si>
  <si>
    <t>Confiabilidade do fabricante</t>
  </si>
  <si>
    <t>10 se modelo atual de linha · 4 se descontinuado/antigo</t>
  </si>
  <si>
    <t>Disponibilidade de reposição</t>
  </si>
  <si>
    <t>Módulo — Potência (W)</t>
  </si>
  <si>
    <t>10 se ≥550W · 7 se 450-549 · 4 se 350-449 · 1 se &lt;350</t>
  </si>
  <si>
    <t>Quanto maior, menos módulos no telhado</t>
  </si>
  <si>
    <t>10 se ≤25kg · 7 se 26-30 · 4 se 31-35 · 1 se &gt;35</t>
  </si>
  <si>
    <t>Carga no telhado</t>
  </si>
  <si>
    <t>Eficiência (%)</t>
  </si>
  <si>
    <t>10 se ≥22% · 7 se 20-21,9% · 4 se 18-19,9% · 1 se &lt;18%</t>
  </si>
  <si>
    <t>Conversão sol→energia</t>
  </si>
  <si>
    <t>10 se ≥85% · 7 se 80-84% · 4 se 75-79% · 1 se &lt;75%</t>
  </si>
  <si>
    <t>Durabilidade da geração</t>
  </si>
  <si>
    <t>Garantia contra defeito do módulo</t>
  </si>
  <si>
    <t>10 se ≥12 anos · 7 se 8-11 · 4 se 5-7 · 1 se &lt;5</t>
  </si>
  <si>
    <t>Cobertura de fábrica</t>
  </si>
  <si>
    <t>10 se 30 anos · 7 se 25 · 4 se &lt;25</t>
  </si>
  <si>
    <t>Linear performance warranty</t>
  </si>
  <si>
    <t>10 se Tier 1 · 5 se Tier 2 · 1 se desconhecida</t>
  </si>
  <si>
    <t>10 se atual · 4 se descontinuado</t>
  </si>
  <si>
    <t>10 se compatível com kWp (sobrecarga adequada) · menor se subdimensionado</t>
  </si>
  <si>
    <t>Aproveitamento do sistema</t>
  </si>
  <si>
    <t>10 se ≥10 · 7 se 7-9 · 4 se 5-6 · 1 se &lt;5</t>
  </si>
  <si>
    <t>Sobrecarga do inversor (kWp/kW)</t>
  </si>
  <si>
    <t>10 se 1,25-1,35 · 7 se 1,15-1,24 ou 1,36-1,45 · 4 fora dessa faixa</t>
  </si>
  <si>
    <t>Faixa ideal 1,25-1,35</t>
  </si>
  <si>
    <t>Reclame Aqui — Distribuidora</t>
  </si>
  <si>
    <t>10 se Ótimo · 7 se Bom · 4 se Regular · 1 se Ruim</t>
  </si>
  <si>
    <t>Reputação últimos 12 meses</t>
  </si>
  <si>
    <t>Reclame Aqui — Fabricante módulo</t>
  </si>
  <si>
    <t>Bem-vindo(a)! Compare até 6 propostas de empresas de energia solar e descubra as 2 finalistas</t>
  </si>
  <si>
    <t>📖 COMO USAR</t>
  </si>
  <si>
    <t>1️⃣  Para cada vendedor que aparecer, preencha os 3 formulários da empresa dele</t>
  </si>
  <si>
    <t>2️⃣  Os dados dos formulários alimentam automaticamente as tabelas comparativas</t>
  </si>
  <si>
    <t>3️⃣  Pontue cada item nas tabelas comparativas (Empresas e Tecnologia)</t>
  </si>
  <si>
    <t>Dados da empresa, garantias,</t>
  </si>
  <si>
    <t>vendedor e documentação</t>
  </si>
  <si>
    <t>Sistema FV, módulo, inversor,</t>
  </si>
  <si>
    <t>reputação do fabricante</t>
  </si>
  <si>
    <t>Conta de energia, preços, prazo,</t>
  </si>
  <si>
    <t>rentabilidade</t>
  </si>
  <si>
    <t>⚠️ Observações sobre o quadro de viabilidade econômico-financeira</t>
  </si>
  <si>
    <t>No terceiro quadro, você notou que não atribuímos pontuação para a análise de viabilidade econômico-financeira. Isso acontece porque muitas vezes os valores apresentados pelas empresas variam muito e podem não ser confiáveis.</t>
  </si>
  <si>
    <t>É crucial entender que análises como essa, focadas em sistemas fotovoltaicos, podem ser facilmente manipuladas. Isso ocorre quando variáveis importantes como o índice de reajuste da energia, o fator de simultaneidade e as previsões de geração EXAGERADAS levam a valores artificiais. Essa prática pode levar a resultados distorcidos, prejudicando a qualidade da análise e fazendo com que você tome decisões totalmente erradas.</t>
  </si>
  <si>
    <t>De forma geral: maiores os índices de reajuste da energia, de simultaneidade e de geração, menor o prazo de retorno — podendo levar a resultado enganador!</t>
  </si>
  <si>
    <t>No entanto, esse quadro tem como objetivo principal permitir uma análise comparativa entre os valores apresentados, possibilitando que se tirem conclusões informadas.</t>
  </si>
  <si>
    <t>ESCALA DE RISCO</t>
  </si>
  <si>
    <t>Avalie sua proposta de 0 a 10 pontos</t>
  </si>
  <si>
    <t>•  As duas propostas finalistas, selecionadas para a última rodada de negociações, apresentam as seguintes características:</t>
  </si>
  <si>
    <t xml:space="preserve">        ○  Apesar de estarem entre as propostas com dois dos três maiores preços, foram consideradas as melhores no conjunto de critérios avaliados.</t>
  </si>
  <si>
    <t xml:space="preserve">        ○  Obtiveram as maiores pontuações, refletindo maior experiência, competência e estrutura organizacional no setor de energia solar.</t>
  </si>
  <si>
    <t>•  Considerações sobre preços e riscos ocultos:</t>
  </si>
  <si>
    <t xml:space="preserve">        ○  O menor preço pode, em alguns casos, ocultar riscos significativos, como:</t>
  </si>
  <si>
    <t xml:space="preserve">                ▪  A utilização de tecnologias de marcas pouco conhecidas no mercado brasileiro.</t>
  </si>
  <si>
    <t xml:space="preserve">                ▪  Equipamentos de qualidade inferior ou de segunda linha.</t>
  </si>
  <si>
    <t xml:space="preserve">                ▪  Indícios de fragilidade estrutural ou organizacional por parte da empresa fornecedora.</t>
  </si>
  <si>
    <t>•  Equilíbrio entre proposta tecnológica e competência:</t>
  </si>
  <si>
    <t xml:space="preserve">        ○  Uma proposta tecnológica de ponta pode não ser suficiente caso a empresa de energia solar tenha pouca experiência e competência.</t>
  </si>
  <si>
    <t xml:space="preserve">        ○  Por outro lado, empresas consolidadas e experientes podem, eventualmente, oferecer tecnologias de qualidade inferior ou de segunda linha a preços mais baixos, na tentativa de se manter competitivas.</t>
  </si>
  <si>
    <t>•  Conclusão:</t>
  </si>
  <si>
    <t>Não existe uma escolha universalmente certa ou errada. A decisão ideal é aquela que considera os critérios mais relevantes para as suas necessidades e que seja tomada de forma consciente e esclarecida.</t>
  </si>
  <si>
    <t>4️⃣  Na aba Pontuação Geral, você escolhe as 2 propostas finalistas para a última rodada de negociação 🏆 🏆</t>
  </si>
  <si>
    <t xml:space="preserve">    📊  SEÇÃO 1 — Pontuação das Propostas</t>
  </si>
  <si>
    <t xml:space="preserve">    🎯  SEÇÃO 2 — Escala de Risco</t>
  </si>
  <si>
    <t xml:space="preserve">    📌  SEÇÃO 3 — Observações Importantes</t>
  </si>
  <si>
    <t>FOTOVOLTA EXPRESS</t>
  </si>
  <si>
    <t>🏆 Finalista</t>
  </si>
  <si>
    <t>Legenda:</t>
  </si>
  <si>
    <t>© 2026 Solar Buy-Side. Todos os direitos reservados.</t>
  </si>
  <si>
    <t>Material protegido pela Lei nº 9.610/98 (Lei de Direitos Autorais). A reprodução, distribuição, modificação ou uso comercial — total ou parcial — é proibida sem autorização expressa do autor.</t>
  </si>
  <si>
    <t>© 2026 Buy-Side Soluções. Todos os direitos reservados.</t>
  </si>
  <si>
    <t>✅ CONFIABILIDADE DOS FABRICANTES E DISTRIBUIDORAS (sim/não/não sei)</t>
  </si>
  <si>
    <t>❌ Descartada</t>
  </si>
  <si>
    <t>Reclame Aqui: Nota Média dos últimos 12 meses</t>
  </si>
  <si>
    <t>Potência do sistema (kilo Watt pico)</t>
  </si>
  <si>
    <t>8,4/10 - Reputação Ótima</t>
  </si>
  <si>
    <t xml:space="preserve">Growatt - 7,6 - Reputação Boa </t>
  </si>
  <si>
    <t>Hanersun - sem avaliação</t>
  </si>
  <si>
    <t>RENOVA</t>
  </si>
  <si>
    <t>SOLI SOLAR</t>
  </si>
  <si>
    <t>ENERGIA SGE</t>
  </si>
  <si>
    <t>TAP SOLAR</t>
  </si>
  <si>
    <t>SELF SOLAR</t>
  </si>
  <si>
    <t>AÇÃO 1</t>
  </si>
  <si>
    <t>AÇÃO 2</t>
  </si>
  <si>
    <t>AÇÃO 3</t>
  </si>
  <si>
    <t>MÉTODO BUY-SIDE SOLUÇÕES</t>
  </si>
  <si>
    <t>Reclame Aqui: Nota Média dos últimos 12 meses (ex: 5,5/10)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</si>
</sst>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R$&quot;\ #,##0.00;[Red]\-&quot;R$&quot;\ #,##0.00"/>
    <numFmt numFmtId="164" formatCode="&quot;R$ &quot;#,##0.00"/>
    <numFmt numFmtId="165" formatCode="0.00&quot;/10&quot;"/>
  </numFmts>
  <fonts count="60" x14ac:knownFonts="1">
    <font>
      <sz val="11"/>
      <color theme="1"/>
      <name val="Calibri"/>
      <family val="2"/>
      <charset val="1"/>
    </font>
    <font>
      <u/>
      <sz val="11"/>
      <color theme="10"/>
      <name val="Calibri"/>
      <family val="2"/>
      <charset val="1"/>
    </font>
    <font>
      <sz val="11"/>
      <color theme="1"/>
      <name val="Segoe UI"/>
      <family val="2"/>
    </font>
    <font>
      <b/>
      <sz val="12"/>
      <color rgb="FFFFFFFF"/>
      <name val="Segoe UI"/>
      <family val="2"/>
    </font>
    <font>
      <b/>
      <sz val="10"/>
      <color rgb="FFFFFFFF"/>
      <name val="Segoe UI"/>
      <family val="2"/>
    </font>
    <font>
      <b/>
      <sz val="13"/>
      <color rgb="FFFFFFFF"/>
      <name val="Segoe UI"/>
      <family val="2"/>
    </font>
    <font>
      <b/>
      <sz val="11"/>
      <color rgb="FFFFFFFF"/>
      <name val="Segoe UI"/>
      <family val="2"/>
    </font>
    <font>
      <b/>
      <sz val="16"/>
      <color rgb="FFFFFFFF"/>
      <name val="Segoe UI"/>
      <family val="2"/>
    </font>
    <font>
      <b/>
      <i/>
      <sz val="10"/>
      <color rgb="FFB45309"/>
      <name val="Segoe UI"/>
      <family val="2"/>
    </font>
    <font>
      <b/>
      <sz val="8"/>
      <color rgb="FF888888"/>
      <name val="Segoe UI"/>
      <family val="2"/>
    </font>
    <font>
      <b/>
      <sz val="11"/>
      <color theme="1"/>
      <name val="Segoe UI"/>
      <family val="2"/>
    </font>
    <font>
      <b/>
      <sz val="14"/>
      <color rgb="FFFFFFFF"/>
      <name val="Segoe UI"/>
      <family val="2"/>
    </font>
    <font>
      <b/>
      <sz val="11"/>
      <color rgb="FF333333"/>
      <name val="Segoe UI"/>
      <family val="2"/>
    </font>
    <font>
      <b/>
      <sz val="12"/>
      <color rgb="FF2E5FA3"/>
      <name val="Segoe UI"/>
      <family val="2"/>
    </font>
    <font>
      <sz val="10"/>
      <color rgb="FF333333"/>
      <name val="Segoe UI"/>
      <family val="2"/>
    </font>
    <font>
      <b/>
      <sz val="11"/>
      <color rgb="FF2E5FA3"/>
      <name val="Segoe UI"/>
      <family val="2"/>
    </font>
    <font>
      <u/>
      <sz val="11"/>
      <color theme="10"/>
      <name val="Segoe UI"/>
      <family val="2"/>
    </font>
    <font>
      <b/>
      <i/>
      <sz val="11"/>
      <color rgb="FF2E5FA3"/>
      <name val="Segoe UI"/>
      <family val="2"/>
    </font>
    <font>
      <sz val="10"/>
      <color rgb="FF000000"/>
      <name val="Segoe UI"/>
      <family val="2"/>
    </font>
    <font>
      <b/>
      <sz val="10"/>
      <color rgb="FF2E5FA3"/>
      <name val="Segoe UI"/>
      <family val="2"/>
    </font>
    <font>
      <sz val="10"/>
      <color theme="1"/>
      <name val="Segoe UI"/>
      <family val="2"/>
    </font>
    <font>
      <i/>
      <sz val="9"/>
      <color rgb="FF666666"/>
      <name val="Segoe UI"/>
      <family val="2"/>
    </font>
    <font>
      <b/>
      <i/>
      <sz val="10"/>
      <color rgb="FF1B5E20"/>
      <name val="Segoe UI"/>
      <family val="2"/>
    </font>
    <font>
      <b/>
      <i/>
      <sz val="12"/>
      <color rgb="FF2E5FA3"/>
      <name val="Segoe UI"/>
      <family val="2"/>
    </font>
    <font>
      <b/>
      <sz val="10"/>
      <color rgb="FF000000"/>
      <name val="Segoe UI"/>
      <family val="2"/>
    </font>
    <font>
      <b/>
      <sz val="11"/>
      <color rgb="FF000000"/>
      <name val="Segoe UI"/>
      <family val="2"/>
    </font>
    <font>
      <i/>
      <sz val="11"/>
      <color rgb="FF2E5FA3"/>
      <name val="Segoe UI"/>
      <family val="2"/>
    </font>
    <font>
      <b/>
      <sz val="12"/>
      <color theme="1"/>
      <name val="Segoe UI"/>
      <family val="2"/>
    </font>
    <font>
      <b/>
      <sz val="11"/>
      <color rgb="FF8A4F00"/>
      <name val="Segoe UI"/>
      <family val="2"/>
    </font>
    <font>
      <sz val="11"/>
      <color rgb="FF6B7280"/>
      <name val="Calibri"/>
      <family val="2"/>
      <charset val="1"/>
    </font>
    <font>
      <b/>
      <sz val="22"/>
      <color rgb="FFFFFFFF"/>
      <name val="Calibri"/>
      <family val="2"/>
      <charset val="1"/>
    </font>
    <font>
      <b/>
      <sz val="14"/>
      <color rgb="FFFFFFFF"/>
      <name val="Calibri"/>
      <family val="2"/>
      <charset val="1"/>
    </font>
    <font>
      <sz val="12"/>
      <color rgb="FF1F2937"/>
      <name val="Calibri"/>
      <family val="2"/>
      <charset val="1"/>
    </font>
    <font>
      <b/>
      <sz val="13"/>
      <color rgb="FFFFFFFF"/>
      <name val="Calibri"/>
      <family val="2"/>
      <charset val="1"/>
    </font>
    <font>
      <sz val="32"/>
      <color theme="1"/>
      <name val="Calibri"/>
      <family val="2"/>
      <charset val="1"/>
    </font>
    <font>
      <b/>
      <sz val="15"/>
      <color rgb="FF1F2937"/>
      <name val="Calibri"/>
      <family val="2"/>
      <charset val="1"/>
    </font>
    <font>
      <b/>
      <u/>
      <sz val="12"/>
      <color rgb="FFFFFFFF"/>
      <name val="Calibri"/>
      <family val="2"/>
      <charset val="1"/>
    </font>
    <font>
      <b/>
      <sz val="12"/>
      <color rgb="FFFFFFFF"/>
      <name val="Calibri"/>
      <family val="2"/>
      <charset val="1"/>
    </font>
    <font>
      <b/>
      <sz val="14"/>
      <color rgb="FF92400E"/>
      <name val="Calibri"/>
      <family val="2"/>
      <charset val="1"/>
    </font>
    <font>
      <b/>
      <sz val="12"/>
      <color rgb="FFB45309"/>
      <name val="Calibri"/>
      <family val="2"/>
    </font>
    <font>
      <sz val="11"/>
      <color rgb="FF1F2937"/>
      <name val="Calibri"/>
      <family val="2"/>
    </font>
    <font>
      <b/>
      <sz val="11"/>
      <color rgb="FFB45309"/>
      <name val="Calibri"/>
      <family val="2"/>
    </font>
    <font>
      <b/>
      <sz val="22"/>
      <color rgb="FF1F2937"/>
      <name val="Calibri"/>
      <family val="2"/>
      <charset val="1"/>
    </font>
    <font>
      <sz val="11"/>
      <color rgb="FF374151"/>
      <name val="Calibri"/>
      <family val="2"/>
      <charset val="1"/>
    </font>
    <font>
      <i/>
      <sz val="11"/>
      <color rgb="FF374151"/>
      <name val="Calibri"/>
      <family val="2"/>
      <charset val="1"/>
    </font>
    <font>
      <b/>
      <sz val="11"/>
      <color rgb="FF1F2937"/>
      <name val="Calibri"/>
      <family val="2"/>
      <charset val="1"/>
    </font>
    <font>
      <sz val="11"/>
      <color rgb="FF4B5563"/>
      <name val="Calibri"/>
      <family val="2"/>
      <charset val="1"/>
    </font>
    <font>
      <b/>
      <sz val="11"/>
      <color theme="1" tint="0.34998626667073579"/>
      <name val="Segoe UI"/>
      <family val="2"/>
    </font>
    <font>
      <b/>
      <sz val="10"/>
      <color rgb="FF374151"/>
      <name val="Segoe UI"/>
      <family val="2"/>
    </font>
    <font>
      <b/>
      <sz val="16"/>
      <color rgb="FF7A5C00"/>
      <name val="Segoe UI"/>
      <family val="2"/>
    </font>
    <font>
      <b/>
      <i/>
      <sz val="11"/>
      <color rgb="FF1F2937"/>
      <name val="Segoe UI"/>
      <family val="2"/>
    </font>
    <font>
      <b/>
      <sz val="11"/>
      <color rgb="FF00B050"/>
      <name val="Calibri"/>
      <family val="2"/>
      <charset val="1"/>
    </font>
    <font>
      <sz val="11"/>
      <color rgb="FF00B050"/>
      <name val="Calibri"/>
      <family val="2"/>
      <charset val="1"/>
    </font>
    <font>
      <i/>
      <sz val="9"/>
      <color rgb="FF7F7F7F"/>
      <name val="Calibri"/>
      <family val="2"/>
    </font>
    <font>
      <b/>
      <sz val="16"/>
      <color rgb="FFF97316"/>
      <name val="Calibri"/>
      <family val="2"/>
      <charset val="1"/>
    </font>
    <font>
      <i/>
      <sz val="13"/>
      <color rgb="FF1E40AF"/>
      <name val="Calibri"/>
      <family val="2"/>
    </font>
    <font>
      <sz val="11"/>
      <color rgb="FF000000"/>
      <name val="Segoe UI"/>
      <family val="2"/>
    </font>
    <font>
      <b/>
      <i/>
      <sz val="10"/>
      <color rgb="FF000000"/>
      <name val="Segoe UI"/>
      <family val="2"/>
    </font>
    <font>
      <b/>
      <i/>
      <sz val="10"/>
      <color rgb="FF2E5FA3"/>
      <name val="Segoe UI"/>
      <family val="2"/>
    </font>
    <font>
      <i/>
      <sz val="11"/>
      <color rgb="FF6B7280"/>
      <name val="Calibri"/>
      <family val="2"/>
      <charset val="1"/>
    </font>
  </fonts>
  <fills count="25">
    <fill>
      <patternFill patternType="none"/>
    </fill>
    <fill>
      <patternFill patternType="gray125"/>
    </fill>
    <fill>
      <patternFill patternType="solid">
        <fgColor rgb="FFFFFFFF"/>
        <bgColor indexed="64"/>
      </patternFill>
    </fill>
    <fill>
      <patternFill patternType="solid">
        <fgColor rgb="FF2E5FA3"/>
        <bgColor indexed="64"/>
      </patternFill>
    </fill>
    <fill>
      <patternFill patternType="solid">
        <fgColor rgb="FFEEF3FB"/>
        <bgColor indexed="64"/>
      </patternFill>
    </fill>
    <fill>
      <patternFill patternType="solid">
        <fgColor rgb="FFFFF8DC"/>
        <bgColor indexed="64"/>
      </patternFill>
    </fill>
    <fill>
      <patternFill patternType="solid">
        <fgColor rgb="FFF7FAFD"/>
        <bgColor indexed="64"/>
      </patternFill>
    </fill>
    <fill>
      <patternFill patternType="solid">
        <fgColor rgb="FF1A9640"/>
        <bgColor indexed="64"/>
      </patternFill>
    </fill>
    <fill>
      <patternFill patternType="solid">
        <fgColor rgb="FF5B85C4"/>
        <bgColor indexed="64"/>
      </patternFill>
    </fill>
    <fill>
      <patternFill patternType="solid">
        <fgColor rgb="FFFFF8E1"/>
        <bgColor indexed="64"/>
      </patternFill>
    </fill>
    <fill>
      <patternFill patternType="solid">
        <fgColor rgb="FF7A5C00"/>
        <bgColor indexed="64"/>
      </patternFill>
    </fill>
    <fill>
      <patternFill patternType="solid">
        <fgColor rgb="FF888888"/>
        <bgColor indexed="64"/>
      </patternFill>
    </fill>
    <fill>
      <patternFill patternType="solid">
        <fgColor rgb="FFFEF3C7"/>
        <bgColor indexed="64"/>
      </patternFill>
    </fill>
    <fill>
      <patternFill patternType="solid">
        <fgColor rgb="FFE8F5E9"/>
        <bgColor indexed="64"/>
      </patternFill>
    </fill>
    <fill>
      <patternFill patternType="solid">
        <fgColor rgb="FFFFF4C2"/>
        <bgColor indexed="64"/>
      </patternFill>
    </fill>
    <fill>
      <patternFill patternType="solid">
        <fgColor rgb="FFF8FAFC"/>
        <bgColor indexed="64"/>
      </patternFill>
    </fill>
    <fill>
      <patternFill patternType="solid">
        <fgColor rgb="FF3B82F6"/>
        <bgColor indexed="64"/>
      </patternFill>
    </fill>
    <fill>
      <patternFill patternType="solid">
        <fgColor rgb="FF16A34A"/>
        <bgColor indexed="64"/>
      </patternFill>
    </fill>
    <fill>
      <patternFill patternType="solid">
        <fgColor rgb="FFB45309"/>
        <bgColor indexed="64"/>
      </patternFill>
    </fill>
    <fill>
      <patternFill patternType="solid">
        <fgColor rgb="FF1E40AF"/>
        <bgColor indexed="64"/>
      </patternFill>
    </fill>
    <fill>
      <patternFill patternType="solid">
        <fgColor rgb="FFFFFBEB"/>
        <bgColor indexed="64"/>
      </patternFill>
    </fill>
    <fill>
      <patternFill patternType="solid">
        <fgColor rgb="FF1E3A8A"/>
        <bgColor indexed="64"/>
      </patternFill>
    </fill>
    <fill>
      <patternFill patternType="solid">
        <fgColor rgb="FF374151"/>
        <bgColor indexed="64"/>
      </patternFill>
    </fill>
    <fill>
      <patternFill patternType="solid">
        <fgColor rgb="FFFEF9E7"/>
        <bgColor indexed="64"/>
      </patternFill>
    </fill>
    <fill>
      <patternFill patternType="solid">
        <fgColor theme="0"/>
        <bgColor indexed="64"/>
      </patternFill>
    </fill>
  </fills>
  <borders count="60">
    <border>
      <left/>
      <right/>
      <top/>
      <bottom/>
      <diagonal/>
    </border>
    <border>
      <left style="medium">
        <color rgb="FF2E5FA3"/>
      </left>
      <right/>
      <top style="medium">
        <color rgb="FF2E5FA3"/>
      </top>
      <bottom style="medium">
        <color rgb="FF2E5FA3"/>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medium">
        <color rgb="FF2E5FA3"/>
      </top>
      <bottom style="thin">
        <color rgb="FFAAAAAA"/>
      </bottom>
      <diagonal/>
    </border>
    <border>
      <left style="medium">
        <color rgb="FF2E5FA3"/>
      </left>
      <right style="medium">
        <color rgb="FF2E5FA3"/>
      </right>
      <top style="medium">
        <color rgb="FF2E5FA3"/>
      </top>
      <bottom style="medium">
        <color rgb="FF2E5FA3"/>
      </bottom>
      <diagonal/>
    </border>
    <border>
      <left style="medium">
        <color rgb="FF2E5FA3"/>
      </left>
      <right style="thin">
        <color rgb="FFAAAAAA"/>
      </right>
      <top style="medium">
        <color rgb="FF2E5FA3"/>
      </top>
      <bottom style="thin">
        <color rgb="FFAAAAAA"/>
      </bottom>
      <diagonal/>
    </border>
    <border>
      <left style="thin">
        <color rgb="FFAAAAAA"/>
      </left>
      <right style="medium">
        <color rgb="FF2E5FA3"/>
      </right>
      <top style="medium">
        <color rgb="FF2E5FA3"/>
      </top>
      <bottom style="thin">
        <color rgb="FFAAAAAA"/>
      </bottom>
      <diagonal/>
    </border>
    <border>
      <left style="medium">
        <color rgb="FF2E5FA3"/>
      </left>
      <right style="thin">
        <color rgb="FFAAAAAA"/>
      </right>
      <top style="thin">
        <color rgb="FFAAAAAA"/>
      </top>
      <bottom style="thin">
        <color rgb="FFAAAAAA"/>
      </bottom>
      <diagonal/>
    </border>
    <border>
      <left style="thin">
        <color rgb="FFAAAAAA"/>
      </left>
      <right style="medium">
        <color rgb="FF2E5FA3"/>
      </right>
      <top style="thin">
        <color rgb="FFAAAAAA"/>
      </top>
      <bottom style="thin">
        <color rgb="FFAAAAAA"/>
      </bottom>
      <diagonal/>
    </border>
    <border>
      <left style="medium">
        <color rgb="FF2E5FA3"/>
      </left>
      <right style="thin">
        <color rgb="FFAAAAAA"/>
      </right>
      <top style="thin">
        <color rgb="FFAAAAAA"/>
      </top>
      <bottom style="medium">
        <color rgb="FF2E5FA3"/>
      </bottom>
      <diagonal/>
    </border>
    <border>
      <left style="thin">
        <color rgb="FFAAAAAA"/>
      </left>
      <right style="thin">
        <color rgb="FFAAAAAA"/>
      </right>
      <top style="thin">
        <color rgb="FFAAAAAA"/>
      </top>
      <bottom style="medium">
        <color rgb="FF2E5FA3"/>
      </bottom>
      <diagonal/>
    </border>
    <border>
      <left style="thin">
        <color rgb="FFAAAAAA"/>
      </left>
      <right style="medium">
        <color rgb="FF2E5FA3"/>
      </right>
      <top style="thin">
        <color rgb="FFAAAAAA"/>
      </top>
      <bottom style="medium">
        <color rgb="FF2E5FA3"/>
      </bottom>
      <diagonal/>
    </border>
    <border>
      <left style="medium">
        <color rgb="FF2E5FA3"/>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medium">
        <color rgb="FF2E5FA3"/>
      </right>
      <top/>
      <bottom style="thin">
        <color rgb="FFAAAAAA"/>
      </bottom>
      <diagonal/>
    </border>
    <border>
      <left/>
      <right/>
      <top style="medium">
        <color rgb="FF2E5FA3"/>
      </top>
      <bottom style="medium">
        <color rgb="FF2E5FA3"/>
      </bottom>
      <diagonal/>
    </border>
    <border>
      <left/>
      <right style="medium">
        <color rgb="FF2E5FA3"/>
      </right>
      <top style="medium">
        <color rgb="FF2E5FA3"/>
      </top>
      <bottom style="medium">
        <color rgb="FF2E5FA3"/>
      </bottom>
      <diagonal/>
    </border>
    <border>
      <left style="thin">
        <color rgb="FFAAAAAA"/>
      </left>
      <right/>
      <top style="thin">
        <color rgb="FFAAAAAA"/>
      </top>
      <bottom style="thin">
        <color rgb="FFAAAAAA"/>
      </bottom>
      <diagonal/>
    </border>
    <border>
      <left style="thin">
        <color rgb="FFAAAAAA"/>
      </left>
      <right/>
      <top/>
      <bottom/>
      <diagonal/>
    </border>
    <border>
      <left style="medium">
        <color rgb="FF0F6B2C"/>
      </left>
      <right style="medium">
        <color rgb="FF0F6B2C"/>
      </right>
      <top style="medium">
        <color rgb="FF0F6B2C"/>
      </top>
      <bottom style="medium">
        <color rgb="FF0F6B2C"/>
      </bottom>
      <diagonal/>
    </border>
    <border>
      <left style="medium">
        <color rgb="FF0F6B2C"/>
      </left>
      <right/>
      <top style="medium">
        <color rgb="FF0F6B2C"/>
      </top>
      <bottom style="medium">
        <color rgb="FF0F6B2C"/>
      </bottom>
      <diagonal/>
    </border>
    <border>
      <left style="medium">
        <color rgb="FF4A3800"/>
      </left>
      <right style="medium">
        <color rgb="FF4A3800"/>
      </right>
      <top style="medium">
        <color rgb="FF4A3800"/>
      </top>
      <bottom style="medium">
        <color rgb="FF4A3800"/>
      </bottom>
      <diagonal/>
    </border>
    <border>
      <left style="medium">
        <color rgb="FF555555"/>
      </left>
      <right/>
      <top style="medium">
        <color rgb="FF555555"/>
      </top>
      <bottom style="medium">
        <color rgb="FF555555"/>
      </bottom>
      <diagonal/>
    </border>
    <border>
      <left style="medium">
        <color rgb="FF555555"/>
      </left>
      <right style="medium">
        <color rgb="FF555555"/>
      </right>
      <top style="medium">
        <color rgb="FF555555"/>
      </top>
      <bottom style="medium">
        <color rgb="FF555555"/>
      </bottom>
      <diagonal/>
    </border>
    <border>
      <left/>
      <right/>
      <top style="thin">
        <color rgb="FFE5E7EB"/>
      </top>
      <bottom/>
      <diagonal/>
    </border>
    <border>
      <left/>
      <right/>
      <top/>
      <bottom style="thin">
        <color rgb="FFE5E7EB"/>
      </bottom>
      <diagonal/>
    </border>
    <border>
      <left style="thin">
        <color rgb="FFE5E7EB"/>
      </left>
      <right/>
      <top style="thin">
        <color rgb="FFE5E7EB"/>
      </top>
      <bottom/>
      <diagonal/>
    </border>
    <border>
      <left style="thin">
        <color rgb="FFE5E7EB"/>
      </left>
      <right/>
      <top/>
      <bottom/>
      <diagonal/>
    </border>
    <border>
      <left style="thin">
        <color rgb="FFE5E7EB"/>
      </left>
      <right/>
      <top/>
      <bottom style="thin">
        <color rgb="FFE5E7EB"/>
      </bottom>
      <diagonal/>
    </border>
    <border>
      <left/>
      <right style="thin">
        <color rgb="FFE5E7EB"/>
      </right>
      <top style="thin">
        <color rgb="FFE5E7EB"/>
      </top>
      <bottom/>
      <diagonal/>
    </border>
    <border>
      <left/>
      <right style="thin">
        <color rgb="FFE5E7EB"/>
      </right>
      <top/>
      <bottom/>
      <diagonal/>
    </border>
    <border>
      <left/>
      <right style="thin">
        <color rgb="FFE5E7EB"/>
      </right>
      <top/>
      <bottom style="thin">
        <color rgb="FFE5E7EB"/>
      </bottom>
      <diagonal/>
    </border>
    <border>
      <left/>
      <right/>
      <top style="thin">
        <color rgb="FFF59E0B"/>
      </top>
      <bottom/>
      <diagonal/>
    </border>
    <border>
      <left style="thin">
        <color rgb="FFF59E0B"/>
      </left>
      <right style="thin">
        <color rgb="FFF59E0B"/>
      </right>
      <top style="thin">
        <color rgb="FFF59E0B"/>
      </top>
      <bottom style="thin">
        <color rgb="FFF59E0B"/>
      </bottom>
      <diagonal/>
    </border>
    <border>
      <left/>
      <right/>
      <top/>
      <bottom style="thin">
        <color rgb="FFF59E0B"/>
      </bottom>
      <diagonal/>
    </border>
    <border>
      <left style="thin">
        <color rgb="FFF59E0B"/>
      </left>
      <right/>
      <top style="thin">
        <color rgb="FFF59E0B"/>
      </top>
      <bottom/>
      <diagonal/>
    </border>
    <border>
      <left style="thin">
        <color rgb="FFF59E0B"/>
      </left>
      <right/>
      <top/>
      <bottom/>
      <diagonal/>
    </border>
    <border>
      <left style="thin">
        <color rgb="FFF59E0B"/>
      </left>
      <right/>
      <top/>
      <bottom style="thin">
        <color rgb="FFF59E0B"/>
      </bottom>
      <diagonal/>
    </border>
    <border>
      <left/>
      <right style="thin">
        <color rgb="FFF59E0B"/>
      </right>
      <top style="thin">
        <color rgb="FFF59E0B"/>
      </top>
      <bottom/>
      <diagonal/>
    </border>
    <border>
      <left/>
      <right style="thin">
        <color rgb="FFF59E0B"/>
      </right>
      <top/>
      <bottom/>
      <diagonal/>
    </border>
    <border>
      <left/>
      <right style="thin">
        <color rgb="FFF59E0B"/>
      </right>
      <top/>
      <bottom style="thin">
        <color rgb="FFF59E0B"/>
      </bottom>
      <diagonal/>
    </border>
    <border>
      <left/>
      <right/>
      <top style="medium">
        <color rgb="FF1E3A8A"/>
      </top>
      <bottom/>
      <diagonal/>
    </border>
    <border>
      <left style="medium">
        <color rgb="FF1E3A8A"/>
      </left>
      <right/>
      <top style="medium">
        <color rgb="FF1E3A8A"/>
      </top>
      <bottom/>
      <diagonal/>
    </border>
    <border>
      <left style="medium">
        <color rgb="FF1E3A8A"/>
      </left>
      <right/>
      <top/>
      <bottom/>
      <diagonal/>
    </border>
    <border>
      <left/>
      <right style="medium">
        <color rgb="FF1E3A8A"/>
      </right>
      <top style="medium">
        <color rgb="FF1E3A8A"/>
      </top>
      <bottom/>
      <diagonal/>
    </border>
    <border>
      <left/>
      <right style="medium">
        <color rgb="FF1E3A8A"/>
      </right>
      <top/>
      <bottom/>
      <diagonal/>
    </border>
    <border>
      <left/>
      <right/>
      <top style="medium">
        <color rgb="FF374151"/>
      </top>
      <bottom/>
      <diagonal/>
    </border>
    <border>
      <left style="medium">
        <color rgb="FF374151"/>
      </left>
      <right/>
      <top style="medium">
        <color rgb="FF374151"/>
      </top>
      <bottom/>
      <diagonal/>
    </border>
    <border>
      <left style="medium">
        <color rgb="FF374151"/>
      </left>
      <right/>
      <top/>
      <bottom/>
      <diagonal/>
    </border>
    <border>
      <left/>
      <right style="medium">
        <color rgb="FF374151"/>
      </right>
      <top style="medium">
        <color rgb="FF374151"/>
      </top>
      <bottom/>
      <diagonal/>
    </border>
    <border>
      <left/>
      <right style="medium">
        <color rgb="FF374151"/>
      </right>
      <top/>
      <bottom/>
      <diagonal/>
    </border>
    <border>
      <left/>
      <right/>
      <top/>
      <bottom style="medium">
        <color rgb="FFB45309"/>
      </bottom>
      <diagonal/>
    </border>
    <border>
      <left style="medium">
        <color rgb="FFB45309"/>
      </left>
      <right/>
      <top/>
      <bottom/>
      <diagonal/>
    </border>
    <border>
      <left style="medium">
        <color rgb="FFB45309"/>
      </left>
      <right/>
      <top/>
      <bottom style="medium">
        <color rgb="FFB45309"/>
      </bottom>
      <diagonal/>
    </border>
    <border>
      <left/>
      <right style="medium">
        <color rgb="FFB45309"/>
      </right>
      <top/>
      <bottom/>
      <diagonal/>
    </border>
    <border>
      <left/>
      <right style="medium">
        <color rgb="FFB45309"/>
      </right>
      <top/>
      <bottom style="medium">
        <color rgb="FFB45309"/>
      </bottom>
      <diagonal/>
    </border>
    <border>
      <left style="thin">
        <color rgb="FFAAAAAA"/>
      </left>
      <right style="thin">
        <color rgb="FFAAAAAA"/>
      </right>
      <top style="thin">
        <color rgb="FFAAAAAA"/>
      </top>
      <bottom/>
      <diagonal/>
    </border>
    <border>
      <left style="thin">
        <color rgb="FFAAAAAA"/>
      </left>
      <right/>
      <top/>
      <bottom style="thin">
        <color rgb="FFAAAAAA"/>
      </bottom>
      <diagonal/>
    </border>
    <border>
      <left style="medium">
        <color rgb="FF2E5FA3"/>
      </left>
      <right style="thin">
        <color rgb="FFAAAAAA"/>
      </right>
      <top style="thin">
        <color rgb="FFAAAAAA"/>
      </top>
      <bottom/>
      <diagonal/>
    </border>
    <border>
      <left style="thin">
        <color rgb="FFAAAAAA"/>
      </left>
      <right style="medium">
        <color rgb="FF2E5FA3"/>
      </right>
      <top style="thin">
        <color rgb="FFAAAAAA"/>
      </top>
      <bottom/>
      <diagonal/>
    </border>
  </borders>
  <cellStyleXfs count="2">
    <xf numFmtId="0" fontId="0" fillId="0" borderId="0"/>
    <xf numFmtId="0" fontId="1" fillId="0" borderId="0" applyNumberFormat="0" applyFill="0" applyBorder="0" applyAlignment="0" applyProtection="0"/>
  </cellStyleXfs>
  <cellXfs count="234">
    <xf numFmtId="0" fontId="0" fillId="0" borderId="0" xfId="0"/>
    <xf numFmtId="0" fontId="0" fillId="0" borderId="0" xfId="0" applyAlignment="1">
      <alignment wrapText="1"/>
    </xf>
    <xf numFmtId="0" fontId="2" fillId="0" borderId="0" xfId="0" applyFont="1"/>
    <xf numFmtId="0" fontId="6" fillId="11" borderId="22" xfId="1" applyFont="1" applyFill="1" applyBorder="1" applyAlignment="1">
      <alignment horizontal="center" vertical="center"/>
    </xf>
    <xf numFmtId="0" fontId="6" fillId="7" borderId="19" xfId="1" applyFont="1" applyFill="1" applyBorder="1" applyAlignment="1">
      <alignment horizontal="center" vertical="center"/>
    </xf>
    <xf numFmtId="0" fontId="3" fillId="7" borderId="20" xfId="0" applyFont="1" applyFill="1" applyBorder="1" applyAlignment="1">
      <alignment horizontal="center" vertical="center"/>
    </xf>
    <xf numFmtId="0" fontId="6" fillId="8" borderId="1" xfId="1" applyFont="1" applyFill="1" applyBorder="1" applyAlignment="1">
      <alignment horizontal="center" vertical="center"/>
    </xf>
    <xf numFmtId="0" fontId="6" fillId="8" borderId="4" xfId="1" applyFont="1" applyFill="1" applyBorder="1" applyAlignment="1">
      <alignment horizontal="center" vertical="center"/>
    </xf>
    <xf numFmtId="0" fontId="12" fillId="9" borderId="2" xfId="0" applyFont="1" applyFill="1" applyBorder="1" applyAlignment="1">
      <alignment horizontal="right" vertical="center"/>
    </xf>
    <xf numFmtId="0" fontId="13" fillId="9" borderId="2" xfId="0" applyFont="1" applyFill="1" applyBorder="1" applyAlignment="1">
      <alignment horizontal="center"/>
    </xf>
    <xf numFmtId="0" fontId="14" fillId="0" borderId="2" xfId="0" applyFont="1" applyBorder="1" applyAlignment="1">
      <alignment vertical="center" wrapText="1" indent="1"/>
    </xf>
    <xf numFmtId="0" fontId="2" fillId="4" borderId="2" xfId="0" applyFont="1" applyFill="1" applyBorder="1" applyAlignment="1">
      <alignment horizontal="center" vertical="center"/>
    </xf>
    <xf numFmtId="0" fontId="3" fillId="7" borderId="19" xfId="0" applyFont="1" applyFill="1" applyBorder="1" applyAlignment="1">
      <alignment horizontal="center" vertical="center"/>
    </xf>
    <xf numFmtId="0" fontId="2" fillId="0" borderId="0" xfId="0" applyFont="1" applyAlignment="1">
      <alignment wrapText="1"/>
    </xf>
    <xf numFmtId="0" fontId="6" fillId="3" borderId="12"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18" fillId="2" borderId="7" xfId="0" applyFont="1" applyFill="1" applyBorder="1" applyAlignment="1">
      <alignment horizontal="left" vertical="center" wrapText="1" indent="2"/>
    </xf>
    <xf numFmtId="0" fontId="18" fillId="2" borderId="2" xfId="0" applyFont="1" applyFill="1" applyBorder="1" applyAlignment="1">
      <alignment horizontal="center" vertical="center" wrapText="1"/>
    </xf>
    <xf numFmtId="0" fontId="19" fillId="4" borderId="2" xfId="0" applyFont="1" applyFill="1" applyBorder="1" applyAlignment="1">
      <alignment horizontal="center" vertical="center" wrapText="1"/>
    </xf>
    <xf numFmtId="0" fontId="19" fillId="4" borderId="8" xfId="0" applyFont="1" applyFill="1" applyBorder="1" applyAlignment="1">
      <alignment horizontal="center" vertical="center" wrapText="1"/>
    </xf>
    <xf numFmtId="0" fontId="20" fillId="4" borderId="0" xfId="0" applyFont="1" applyFill="1" applyAlignment="1">
      <alignment horizontal="center" vertical="center"/>
    </xf>
    <xf numFmtId="0" fontId="19" fillId="14" borderId="2" xfId="0" applyFont="1" applyFill="1" applyBorder="1" applyAlignment="1">
      <alignment horizontal="center" vertical="center" wrapText="1"/>
    </xf>
    <xf numFmtId="0" fontId="19" fillId="14" borderId="8" xfId="0" applyFont="1" applyFill="1" applyBorder="1" applyAlignment="1">
      <alignment horizontal="center" vertical="center" wrapText="1"/>
    </xf>
    <xf numFmtId="0" fontId="6" fillId="3" borderId="9" xfId="0" applyFont="1" applyFill="1" applyBorder="1" applyAlignment="1">
      <alignment horizontal="left" vertical="center" wrapText="1" indent="1"/>
    </xf>
    <xf numFmtId="0" fontId="6" fillId="3" borderId="10" xfId="0" applyFont="1" applyFill="1" applyBorder="1" applyAlignment="1">
      <alignment horizontal="center" vertical="center"/>
    </xf>
    <xf numFmtId="0" fontId="6" fillId="3" borderId="10"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21" fillId="0" borderId="0" xfId="0" applyFont="1" applyAlignment="1">
      <alignment wrapText="1"/>
    </xf>
    <xf numFmtId="0" fontId="21" fillId="0" borderId="0" xfId="0" applyFont="1" applyAlignment="1">
      <alignment horizontal="center"/>
    </xf>
    <xf numFmtId="0" fontId="10" fillId="9" borderId="2" xfId="0" applyFont="1" applyFill="1" applyBorder="1" applyAlignment="1">
      <alignment horizontal="right" vertical="center" wrapText="1"/>
    </xf>
    <xf numFmtId="0" fontId="23" fillId="9" borderId="2" xfId="0" applyFont="1" applyFill="1" applyBorder="1" applyAlignment="1">
      <alignment horizontal="center"/>
    </xf>
    <xf numFmtId="0" fontId="12" fillId="9" borderId="2" xfId="0" applyFont="1" applyFill="1" applyBorder="1" applyAlignment="1">
      <alignment horizontal="right" vertical="center" wrapText="1" indent="1"/>
    </xf>
    <xf numFmtId="0" fontId="18" fillId="2" borderId="7" xfId="0" applyFont="1" applyFill="1" applyBorder="1" applyAlignment="1">
      <alignment horizontal="center" vertical="center" wrapText="1"/>
    </xf>
    <xf numFmtId="0" fontId="24" fillId="5" borderId="7" xfId="0" applyFont="1" applyFill="1" applyBorder="1" applyAlignment="1">
      <alignment horizontal="left" vertical="center" wrapText="1" indent="2"/>
    </xf>
    <xf numFmtId="164" fontId="18" fillId="2" borderId="2" xfId="0" applyNumberFormat="1" applyFont="1" applyFill="1" applyBorder="1" applyAlignment="1">
      <alignment horizontal="right" vertical="center"/>
    </xf>
    <xf numFmtId="164" fontId="18" fillId="2" borderId="8" xfId="0" applyNumberFormat="1" applyFont="1" applyFill="1" applyBorder="1" applyAlignment="1">
      <alignment horizontal="right" vertical="center"/>
    </xf>
    <xf numFmtId="0" fontId="18" fillId="2" borderId="9" xfId="0" applyFont="1" applyFill="1" applyBorder="1" applyAlignment="1">
      <alignment horizontal="left" vertical="center" wrapText="1" indent="2"/>
    </xf>
    <xf numFmtId="0" fontId="6" fillId="3" borderId="7"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8" xfId="0" applyFont="1" applyFill="1" applyBorder="1" applyAlignment="1">
      <alignment horizontal="center" vertical="center" wrapText="1"/>
    </xf>
    <xf numFmtId="0" fontId="18" fillId="6" borderId="7" xfId="0" applyFont="1" applyFill="1" applyBorder="1" applyAlignment="1">
      <alignment horizontal="left" vertical="center" wrapText="1" indent="1"/>
    </xf>
    <xf numFmtId="0" fontId="19" fillId="6" borderId="2" xfId="0" applyFont="1" applyFill="1" applyBorder="1" applyAlignment="1">
      <alignment horizontal="center" vertical="center"/>
    </xf>
    <xf numFmtId="0" fontId="18" fillId="6" borderId="8" xfId="0" applyFont="1" applyFill="1" applyBorder="1" applyAlignment="1">
      <alignment horizontal="left" vertical="center" wrapText="1" indent="1"/>
    </xf>
    <xf numFmtId="0" fontId="18" fillId="2" borderId="7" xfId="0" applyFont="1" applyFill="1" applyBorder="1" applyAlignment="1">
      <alignment horizontal="left" vertical="center" wrapText="1" indent="1"/>
    </xf>
    <xf numFmtId="0" fontId="19" fillId="2" borderId="2" xfId="0" applyFont="1" applyFill="1" applyBorder="1" applyAlignment="1">
      <alignment horizontal="center" vertical="center"/>
    </xf>
    <xf numFmtId="0" fontId="18" fillId="2" borderId="8" xfId="0" applyFont="1" applyFill="1" applyBorder="1" applyAlignment="1">
      <alignment horizontal="left" vertical="center" wrapText="1" indent="1"/>
    </xf>
    <xf numFmtId="0" fontId="6" fillId="3" borderId="11" xfId="0" applyFont="1" applyFill="1" applyBorder="1" applyAlignment="1">
      <alignment horizontal="left" vertical="center" wrapText="1"/>
    </xf>
    <xf numFmtId="0" fontId="18" fillId="2" borderId="0" xfId="0" applyFont="1" applyFill="1" applyAlignment="1">
      <alignment horizontal="left" vertical="center" wrapText="1"/>
    </xf>
    <xf numFmtId="0" fontId="18" fillId="2" borderId="0" xfId="0" applyFont="1" applyFill="1" applyAlignment="1">
      <alignment horizontal="left" vertical="center"/>
    </xf>
    <xf numFmtId="0" fontId="6" fillId="3" borderId="7" xfId="0" applyFont="1" applyFill="1" applyBorder="1" applyAlignment="1">
      <alignment horizontal="center" vertical="center" wrapText="1"/>
    </xf>
    <xf numFmtId="0" fontId="6" fillId="3" borderId="9" xfId="0" applyFont="1" applyFill="1" applyBorder="1" applyAlignment="1">
      <alignment horizontal="left" vertical="center" indent="1"/>
    </xf>
    <xf numFmtId="0" fontId="0" fillId="2" borderId="0" xfId="0" applyFill="1"/>
    <xf numFmtId="164" fontId="24" fillId="5" borderId="2" xfId="0" applyNumberFormat="1" applyFont="1" applyFill="1" applyBorder="1" applyAlignment="1">
      <alignment horizontal="right" vertical="center"/>
    </xf>
    <xf numFmtId="164" fontId="24" fillId="5" borderId="8" xfId="0" applyNumberFormat="1" applyFont="1" applyFill="1" applyBorder="1" applyAlignment="1">
      <alignment horizontal="right" vertical="center"/>
    </xf>
    <xf numFmtId="164" fontId="2" fillId="4" borderId="2" xfId="0" applyNumberFormat="1" applyFont="1" applyFill="1" applyBorder="1" applyAlignment="1">
      <alignment horizontal="center" vertical="center"/>
    </xf>
    <xf numFmtId="164" fontId="18" fillId="2" borderId="2" xfId="0" applyNumberFormat="1" applyFont="1" applyFill="1" applyBorder="1" applyAlignment="1">
      <alignment horizontal="center" vertical="center" wrapText="1"/>
    </xf>
    <xf numFmtId="164" fontId="18" fillId="2" borderId="8" xfId="0" applyNumberFormat="1" applyFont="1" applyFill="1" applyBorder="1" applyAlignment="1">
      <alignment horizontal="center" vertical="center" wrapText="1"/>
    </xf>
    <xf numFmtId="164" fontId="18" fillId="2" borderId="10" xfId="0" applyNumberFormat="1" applyFont="1" applyFill="1" applyBorder="1" applyAlignment="1">
      <alignment horizontal="center" vertical="center" wrapText="1"/>
    </xf>
    <xf numFmtId="164" fontId="18" fillId="2" borderId="11" xfId="0" applyNumberFormat="1" applyFont="1" applyFill="1" applyBorder="1" applyAlignment="1">
      <alignment horizontal="center" vertical="center" wrapText="1"/>
    </xf>
    <xf numFmtId="164" fontId="0" fillId="0" borderId="0" xfId="0" applyNumberFormat="1"/>
    <xf numFmtId="0" fontId="0" fillId="15" borderId="0" xfId="0" applyFill="1" applyAlignment="1">
      <alignment wrapText="1"/>
    </xf>
    <xf numFmtId="0" fontId="6" fillId="3" borderId="0" xfId="0" applyFont="1" applyFill="1" applyAlignment="1">
      <alignment horizontal="center" vertical="center" wrapText="1"/>
    </xf>
    <xf numFmtId="164" fontId="25" fillId="2" borderId="0" xfId="0" applyNumberFormat="1" applyFont="1" applyFill="1" applyAlignment="1">
      <alignment horizontal="right" vertical="center"/>
    </xf>
    <xf numFmtId="0" fontId="25" fillId="2" borderId="0" xfId="0" applyFont="1" applyFill="1" applyAlignment="1">
      <alignment horizontal="right" vertical="center" wrapText="1"/>
    </xf>
    <xf numFmtId="0" fontId="6" fillId="3" borderId="43" xfId="0" applyFont="1" applyFill="1" applyBorder="1" applyAlignment="1">
      <alignment horizontal="center" vertical="center" wrapText="1"/>
    </xf>
    <xf numFmtId="0" fontId="25" fillId="2" borderId="43" xfId="0" applyFont="1" applyFill="1" applyBorder="1" applyAlignment="1">
      <alignment horizontal="left" vertical="center" wrapText="1" indent="1"/>
    </xf>
    <xf numFmtId="0" fontId="0" fillId="0" borderId="43" xfId="0" applyBorder="1"/>
    <xf numFmtId="0" fontId="6" fillId="3" borderId="45" xfId="0" applyFont="1" applyFill="1" applyBorder="1" applyAlignment="1">
      <alignment horizontal="center" vertical="center" wrapText="1"/>
    </xf>
    <xf numFmtId="164" fontId="25" fillId="2" borderId="45" xfId="0" applyNumberFormat="1" applyFont="1" applyFill="1" applyBorder="1" applyAlignment="1">
      <alignment horizontal="right" vertical="center"/>
    </xf>
    <xf numFmtId="0" fontId="25" fillId="2" borderId="45" xfId="0" applyFont="1" applyFill="1" applyBorder="1" applyAlignment="1">
      <alignment horizontal="right" vertical="center" wrapText="1"/>
    </xf>
    <xf numFmtId="0" fontId="0" fillId="0" borderId="45" xfId="0" applyBorder="1"/>
    <xf numFmtId="0" fontId="0" fillId="0" borderId="52" xfId="0" applyBorder="1"/>
    <xf numFmtId="0" fontId="0" fillId="15" borderId="52" xfId="0" applyFill="1" applyBorder="1" applyAlignment="1">
      <alignment wrapText="1"/>
    </xf>
    <xf numFmtId="0" fontId="0" fillId="0" borderId="54" xfId="0" applyBorder="1"/>
    <xf numFmtId="0" fontId="0" fillId="15" borderId="54" xfId="0" applyFill="1" applyBorder="1" applyAlignment="1">
      <alignment wrapText="1"/>
    </xf>
    <xf numFmtId="0" fontId="27" fillId="12" borderId="0" xfId="0" applyFont="1" applyFill="1" applyAlignment="1">
      <alignment horizontal="center" vertical="center"/>
    </xf>
    <xf numFmtId="0" fontId="27" fillId="12" borderId="45" xfId="0" applyFont="1" applyFill="1" applyBorder="1" applyAlignment="1">
      <alignment horizontal="center" vertical="center"/>
    </xf>
    <xf numFmtId="0" fontId="0" fillId="24" borderId="0" xfId="0" applyFill="1"/>
    <xf numFmtId="0" fontId="28" fillId="24" borderId="0" xfId="0" applyFont="1" applyFill="1" applyAlignment="1">
      <alignment horizontal="left"/>
    </xf>
    <xf numFmtId="0" fontId="27" fillId="12" borderId="43" xfId="0" applyFont="1" applyFill="1" applyBorder="1" applyAlignment="1">
      <alignment vertical="center" wrapText="1"/>
    </xf>
    <xf numFmtId="0" fontId="47" fillId="24" borderId="0" xfId="0" applyFont="1" applyFill="1" applyAlignment="1">
      <alignment horizontal="left" wrapText="1"/>
    </xf>
    <xf numFmtId="0" fontId="26" fillId="2" borderId="43" xfId="0" applyFont="1" applyFill="1" applyBorder="1" applyAlignment="1">
      <alignment horizontal="left" vertical="center" wrapText="1" indent="1"/>
    </xf>
    <xf numFmtId="165" fontId="26" fillId="2" borderId="0" xfId="0" applyNumberFormat="1" applyFont="1" applyFill="1" applyAlignment="1">
      <alignment horizontal="right" vertical="center" wrapText="1"/>
    </xf>
    <xf numFmtId="165" fontId="26" fillId="2" borderId="45" xfId="0" applyNumberFormat="1" applyFont="1" applyFill="1" applyBorder="1" applyAlignment="1">
      <alignment horizontal="right" vertical="center" wrapText="1"/>
    </xf>
    <xf numFmtId="0" fontId="50" fillId="2" borderId="43" xfId="0" applyFont="1" applyFill="1" applyBorder="1" applyAlignment="1">
      <alignment horizontal="left" vertical="center" wrapText="1" indent="1"/>
    </xf>
    <xf numFmtId="165" fontId="50" fillId="2" borderId="0" xfId="0" applyNumberFormat="1" applyFont="1" applyFill="1" applyAlignment="1">
      <alignment horizontal="right" vertical="center" wrapText="1"/>
    </xf>
    <xf numFmtId="165" fontId="50" fillId="2" borderId="45" xfId="0" applyNumberFormat="1" applyFont="1" applyFill="1" applyBorder="1" applyAlignment="1">
      <alignment horizontal="right" vertical="center" wrapText="1"/>
    </xf>
    <xf numFmtId="0" fontId="6" fillId="11" borderId="22" xfId="1" applyNumberFormat="1" applyFont="1" applyFill="1" applyBorder="1" applyAlignment="1">
      <alignment horizontal="center" vertical="center"/>
    </xf>
    <xf numFmtId="0" fontId="6" fillId="10" borderId="21" xfId="1" applyNumberFormat="1" applyFont="1" applyFill="1" applyBorder="1" applyAlignment="1">
      <alignment horizontal="center" vertical="center"/>
    </xf>
    <xf numFmtId="0" fontId="6" fillId="8" borderId="1" xfId="1" applyNumberFormat="1" applyFont="1" applyFill="1" applyBorder="1" applyAlignment="1">
      <alignment horizontal="center" vertical="center"/>
    </xf>
    <xf numFmtId="0" fontId="6" fillId="8" borderId="4" xfId="1" applyNumberFormat="1" applyFont="1" applyFill="1" applyBorder="1" applyAlignment="1">
      <alignment horizontal="center" vertical="center"/>
    </xf>
    <xf numFmtId="0" fontId="53" fillId="0" borderId="0" xfId="0" applyFont="1"/>
    <xf numFmtId="0" fontId="53" fillId="0" borderId="0" xfId="0" applyFont="1" applyAlignment="1">
      <alignment wrapText="1"/>
    </xf>
    <xf numFmtId="164" fontId="18" fillId="2" borderId="2" xfId="0" applyNumberFormat="1" applyFont="1" applyFill="1" applyBorder="1" applyAlignment="1">
      <alignment horizontal="right" vertical="center" wrapText="1"/>
    </xf>
    <xf numFmtId="164" fontId="18" fillId="2" borderId="10" xfId="0" applyNumberFormat="1" applyFont="1" applyFill="1" applyBorder="1" applyAlignment="1">
      <alignment horizontal="right" vertical="center" wrapText="1"/>
    </xf>
    <xf numFmtId="8" fontId="2" fillId="4" borderId="2" xfId="0" applyNumberFormat="1" applyFont="1" applyFill="1" applyBorder="1" applyAlignment="1">
      <alignment horizontal="center" vertical="center"/>
    </xf>
    <xf numFmtId="0" fontId="17" fillId="4" borderId="7"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38" fillId="12" borderId="33" xfId="0" applyFont="1" applyFill="1" applyBorder="1" applyAlignment="1">
      <alignment horizontal="center" vertical="center"/>
    </xf>
    <xf numFmtId="0" fontId="0" fillId="0" borderId="0" xfId="0"/>
    <xf numFmtId="0" fontId="0" fillId="2" borderId="0" xfId="0" applyFill="1"/>
    <xf numFmtId="0" fontId="36" fillId="18" borderId="0" xfId="1" applyFont="1" applyFill="1" applyAlignment="1">
      <alignment horizontal="center" vertical="center"/>
    </xf>
    <xf numFmtId="0" fontId="33" fillId="17" borderId="27" xfId="1" applyFont="1" applyFill="1" applyBorder="1" applyAlignment="1">
      <alignment horizontal="center" vertical="center"/>
    </xf>
    <xf numFmtId="0" fontId="0" fillId="0" borderId="30" xfId="0" applyBorder="1"/>
    <xf numFmtId="0" fontId="37" fillId="16" borderId="28" xfId="1" applyFont="1" applyFill="1" applyBorder="1" applyAlignment="1">
      <alignment horizontal="center" vertical="center"/>
    </xf>
    <xf numFmtId="0" fontId="0" fillId="0" borderId="25" xfId="0" applyBorder="1"/>
    <xf numFmtId="0" fontId="0" fillId="0" borderId="31" xfId="0" applyBorder="1"/>
    <xf numFmtId="0" fontId="35" fillId="2" borderId="27" xfId="0" applyFont="1" applyFill="1" applyBorder="1" applyAlignment="1">
      <alignment horizontal="center" vertical="center"/>
    </xf>
    <xf numFmtId="0" fontId="29" fillId="2" borderId="27" xfId="0" applyFont="1" applyFill="1" applyBorder="1" applyAlignment="1">
      <alignment horizontal="center" vertical="center"/>
    </xf>
    <xf numFmtId="0" fontId="31" fillId="18" borderId="0" xfId="0" applyFont="1" applyFill="1" applyAlignment="1">
      <alignment horizontal="center" vertical="center"/>
    </xf>
    <xf numFmtId="0" fontId="32" fillId="2" borderId="0" xfId="0" applyFont="1" applyFill="1" applyAlignment="1">
      <alignment horizontal="left" vertical="center" indent="2"/>
    </xf>
    <xf numFmtId="0" fontId="32" fillId="15" borderId="0" xfId="0" applyFont="1" applyFill="1" applyAlignment="1">
      <alignment horizontal="left" vertical="center" indent="2"/>
    </xf>
    <xf numFmtId="0" fontId="34" fillId="2" borderId="26" xfId="0" applyFont="1" applyFill="1" applyBorder="1" applyAlignment="1">
      <alignment horizontal="center" vertical="center"/>
    </xf>
    <xf numFmtId="0" fontId="0" fillId="0" borderId="24" xfId="0" applyBorder="1"/>
    <xf numFmtId="0" fontId="0" fillId="0" borderId="29" xfId="0" applyBorder="1"/>
    <xf numFmtId="0" fontId="33" fillId="16" borderId="0" xfId="0" applyFont="1" applyFill="1" applyAlignment="1">
      <alignment horizontal="center" vertical="center"/>
    </xf>
    <xf numFmtId="0" fontId="31" fillId="19" borderId="0" xfId="0" applyFont="1" applyFill="1" applyAlignment="1">
      <alignment horizontal="center" vertical="center" indent="2"/>
    </xf>
    <xf numFmtId="0" fontId="30" fillId="19" borderId="0" xfId="0" applyFont="1" applyFill="1" applyAlignment="1">
      <alignment horizontal="center" vertical="center"/>
    </xf>
    <xf numFmtId="0" fontId="31" fillId="19" borderId="0" xfId="0" applyFont="1" applyFill="1" applyAlignment="1">
      <alignment horizontal="center" vertical="center"/>
    </xf>
    <xf numFmtId="0" fontId="6" fillId="8" borderId="2" xfId="0" applyFont="1" applyFill="1" applyBorder="1" applyAlignment="1">
      <alignment horizontal="left" indent="1"/>
    </xf>
    <xf numFmtId="0" fontId="2" fillId="0" borderId="2" xfId="0" applyFont="1" applyBorder="1"/>
    <xf numFmtId="0" fontId="9" fillId="2" borderId="0" xfId="0" applyFont="1" applyFill="1" applyAlignment="1">
      <alignment horizontal="center"/>
    </xf>
    <xf numFmtId="0" fontId="10" fillId="0" borderId="0" xfId="0" applyFont="1" applyAlignment="1">
      <alignment horizontal="center" vertical="center"/>
    </xf>
    <xf numFmtId="0" fontId="2" fillId="0" borderId="0" xfId="0" applyFont="1"/>
    <xf numFmtId="0" fontId="11" fillId="3" borderId="2" xfId="0" applyFont="1" applyFill="1" applyBorder="1" applyAlignment="1">
      <alignment horizontal="center" vertical="center"/>
    </xf>
    <xf numFmtId="0" fontId="2" fillId="0" borderId="17" xfId="0" applyFont="1" applyBorder="1"/>
    <xf numFmtId="0" fontId="6" fillId="8" borderId="2" xfId="0" applyFont="1" applyFill="1" applyBorder="1" applyAlignment="1">
      <alignment horizontal="left"/>
    </xf>
    <xf numFmtId="0" fontId="7" fillId="3" borderId="0" xfId="0" applyFont="1" applyFill="1" applyAlignment="1">
      <alignment horizontal="center" vertical="center"/>
    </xf>
    <xf numFmtId="0" fontId="8" fillId="12" borderId="0" xfId="0" applyFont="1" applyFill="1" applyAlignment="1">
      <alignment horizontal="center" wrapText="1"/>
    </xf>
    <xf numFmtId="0" fontId="17" fillId="4" borderId="7" xfId="0" applyFont="1" applyFill="1" applyBorder="1" applyAlignment="1">
      <alignment horizontal="left" vertical="center" wrapText="1" indent="1"/>
    </xf>
    <xf numFmtId="0" fontId="17" fillId="4" borderId="2" xfId="0" applyFont="1" applyFill="1" applyBorder="1" applyAlignment="1">
      <alignment horizontal="center" vertical="center" wrapText="1" indent="1"/>
    </xf>
    <xf numFmtId="0" fontId="17" fillId="4" borderId="8" xfId="0" applyFont="1" applyFill="1" applyBorder="1" applyAlignment="1">
      <alignment horizontal="center" vertical="center" wrapText="1" indent="1"/>
    </xf>
    <xf numFmtId="0" fontId="15" fillId="0" borderId="0" xfId="0" applyFont="1" applyAlignment="1">
      <alignment horizontal="left" wrapText="1"/>
    </xf>
    <xf numFmtId="0" fontId="4" fillId="11" borderId="23" xfId="1" applyFont="1" applyFill="1" applyBorder="1" applyAlignment="1">
      <alignment horizontal="center" vertical="center" wrapText="1"/>
    </xf>
    <xf numFmtId="0" fontId="16" fillId="0" borderId="0" xfId="1" applyFont="1" applyAlignment="1">
      <alignment wrapText="1"/>
    </xf>
    <xf numFmtId="0" fontId="4" fillId="8" borderId="4" xfId="1" applyFont="1" applyFill="1" applyBorder="1" applyAlignment="1">
      <alignment horizontal="center" vertical="center"/>
    </xf>
    <xf numFmtId="0" fontId="16" fillId="0" borderId="0" xfId="1" applyFont="1"/>
    <xf numFmtId="0" fontId="4" fillId="7" borderId="19" xfId="1" applyFont="1" applyFill="1" applyBorder="1" applyAlignment="1">
      <alignment horizontal="center" vertical="center"/>
    </xf>
    <xf numFmtId="0" fontId="48" fillId="3" borderId="1" xfId="0" applyFont="1" applyFill="1" applyBorder="1" applyAlignment="1">
      <alignment horizontal="center" vertical="center" wrapText="1"/>
    </xf>
    <xf numFmtId="0" fontId="48" fillId="3" borderId="15" xfId="0" applyFont="1" applyFill="1" applyBorder="1" applyAlignment="1">
      <alignment horizontal="center" vertical="center" wrapText="1"/>
    </xf>
    <xf numFmtId="0" fontId="48" fillId="3" borderId="16" xfId="0" applyFont="1" applyFill="1" applyBorder="1" applyAlignment="1">
      <alignment horizontal="center" vertical="center" wrapText="1"/>
    </xf>
    <xf numFmtId="0" fontId="17" fillId="4" borderId="2" xfId="0" applyFont="1" applyFill="1" applyBorder="1" applyAlignment="1">
      <alignment horizontal="left" vertical="center" wrapText="1" indent="1"/>
    </xf>
    <xf numFmtId="0" fontId="17" fillId="4" borderId="8" xfId="0" applyFont="1" applyFill="1" applyBorder="1" applyAlignment="1">
      <alignment horizontal="left" vertical="center" wrapText="1" indent="1"/>
    </xf>
    <xf numFmtId="0" fontId="22" fillId="13" borderId="0" xfId="0" applyFont="1" applyFill="1" applyAlignment="1">
      <alignment horizontal="center"/>
    </xf>
    <xf numFmtId="0" fontId="17" fillId="4" borderId="7"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17" fillId="4" borderId="8" xfId="0" applyFont="1" applyFill="1" applyBorder="1" applyAlignment="1">
      <alignment horizontal="center" vertical="center" wrapText="1"/>
    </xf>
    <xf numFmtId="0" fontId="15" fillId="0" borderId="0" xfId="0" applyFont="1" applyAlignment="1">
      <alignment wrapText="1"/>
    </xf>
    <xf numFmtId="0" fontId="39" fillId="12" borderId="35" xfId="0" applyFont="1" applyFill="1" applyBorder="1" applyAlignment="1">
      <alignment horizontal="left" wrapText="1"/>
    </xf>
    <xf numFmtId="0" fontId="39" fillId="12" borderId="32" xfId="0" applyFont="1" applyFill="1" applyBorder="1" applyAlignment="1">
      <alignment horizontal="left" wrapText="1"/>
    </xf>
    <xf numFmtId="0" fontId="39" fillId="12" borderId="38" xfId="0" applyFont="1" applyFill="1" applyBorder="1" applyAlignment="1">
      <alignment horizontal="left" wrapText="1"/>
    </xf>
    <xf numFmtId="0" fontId="40" fillId="20" borderId="36" xfId="0" applyFont="1" applyFill="1" applyBorder="1" applyAlignment="1">
      <alignment horizontal="left" vertical="top" wrapText="1"/>
    </xf>
    <xf numFmtId="0" fontId="40" fillId="20" borderId="0" xfId="0" applyFont="1" applyFill="1" applyAlignment="1">
      <alignment horizontal="left" vertical="top" wrapText="1"/>
    </xf>
    <xf numFmtId="0" fontId="40" fillId="20" borderId="39" xfId="0" applyFont="1" applyFill="1" applyBorder="1" applyAlignment="1">
      <alignment horizontal="left" vertical="top" wrapText="1"/>
    </xf>
    <xf numFmtId="0" fontId="41" fillId="20" borderId="36" xfId="0" applyFont="1" applyFill="1" applyBorder="1" applyAlignment="1">
      <alignment horizontal="left" vertical="top" wrapText="1"/>
    </xf>
    <xf numFmtId="0" fontId="41" fillId="20" borderId="0" xfId="0" applyFont="1" applyFill="1" applyAlignment="1">
      <alignment horizontal="left" vertical="top" wrapText="1"/>
    </xf>
    <xf numFmtId="0" fontId="41" fillId="20" borderId="39" xfId="0" applyFont="1" applyFill="1" applyBorder="1" applyAlignment="1">
      <alignment horizontal="left" vertical="top" wrapText="1"/>
    </xf>
    <xf numFmtId="0" fontId="40" fillId="20" borderId="37" xfId="0" applyFont="1" applyFill="1" applyBorder="1" applyAlignment="1">
      <alignment horizontal="left" vertical="top" wrapText="1"/>
    </xf>
    <xf numFmtId="0" fontId="40" fillId="20" borderId="34" xfId="0" applyFont="1" applyFill="1" applyBorder="1" applyAlignment="1">
      <alignment horizontal="left" vertical="top" wrapText="1"/>
    </xf>
    <xf numFmtId="0" fontId="40" fillId="20" borderId="40" xfId="0" applyFont="1" applyFill="1" applyBorder="1" applyAlignment="1">
      <alignment horizontal="left" vertical="top" wrapText="1"/>
    </xf>
    <xf numFmtId="164" fontId="17" fillId="4" borderId="2" xfId="0" applyNumberFormat="1" applyFont="1" applyFill="1" applyBorder="1" applyAlignment="1">
      <alignment horizontal="left" vertical="center" wrapText="1" indent="1"/>
    </xf>
    <xf numFmtId="164" fontId="17" fillId="4" borderId="8" xfId="0" applyNumberFormat="1" applyFont="1" applyFill="1" applyBorder="1" applyAlignment="1">
      <alignment horizontal="left" vertical="center" wrapText="1" indent="1"/>
    </xf>
    <xf numFmtId="0" fontId="4" fillId="10" borderId="21" xfId="1" applyFont="1" applyFill="1" applyBorder="1" applyAlignment="1">
      <alignment horizontal="center" vertical="center"/>
    </xf>
    <xf numFmtId="0" fontId="5" fillId="3" borderId="1" xfId="0" applyFont="1" applyFill="1" applyBorder="1" applyAlignment="1">
      <alignment horizontal="center" vertical="center" wrapText="1"/>
    </xf>
    <xf numFmtId="0" fontId="5" fillId="3" borderId="15"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45" fillId="12" borderId="52" xfId="0" applyFont="1" applyFill="1" applyBorder="1" applyAlignment="1">
      <alignment vertical="center" wrapText="1"/>
    </xf>
    <xf numFmtId="0" fontId="45" fillId="12" borderId="0" xfId="0" applyFont="1" applyFill="1" applyAlignment="1">
      <alignment vertical="center" wrapText="1"/>
    </xf>
    <xf numFmtId="0" fontId="45" fillId="12" borderId="54" xfId="0" applyFont="1" applyFill="1" applyBorder="1" applyAlignment="1">
      <alignment vertical="center" wrapText="1"/>
    </xf>
    <xf numFmtId="0" fontId="44" fillId="12" borderId="53" xfId="0" applyFont="1" applyFill="1" applyBorder="1" applyAlignment="1">
      <alignment vertical="center" wrapText="1"/>
    </xf>
    <xf numFmtId="0" fontId="44" fillId="12" borderId="51" xfId="0" applyFont="1" applyFill="1" applyBorder="1" applyAlignment="1">
      <alignment vertical="center" wrapText="1"/>
    </xf>
    <xf numFmtId="0" fontId="44" fillId="12" borderId="55" xfId="0" applyFont="1" applyFill="1" applyBorder="1" applyAlignment="1">
      <alignment vertical="center" wrapText="1"/>
    </xf>
    <xf numFmtId="0" fontId="31" fillId="22" borderId="47" xfId="0" applyFont="1" applyFill="1" applyBorder="1" applyAlignment="1">
      <alignment horizontal="left" vertical="center"/>
    </xf>
    <xf numFmtId="0" fontId="31" fillId="22" borderId="46" xfId="0" applyFont="1" applyFill="1" applyBorder="1" applyAlignment="1">
      <alignment horizontal="left" vertical="center"/>
    </xf>
    <xf numFmtId="0" fontId="31" fillId="22" borderId="49" xfId="0" applyFont="1" applyFill="1" applyBorder="1" applyAlignment="1">
      <alignment horizontal="left" vertical="center"/>
    </xf>
    <xf numFmtId="0" fontId="51" fillId="23" borderId="0" xfId="0" applyFont="1" applyFill="1" applyAlignment="1">
      <alignment horizontal="center" vertical="center"/>
    </xf>
    <xf numFmtId="0" fontId="52" fillId="0" borderId="0" xfId="0" applyFont="1" applyAlignment="1">
      <alignment vertical="center"/>
    </xf>
    <xf numFmtId="0" fontId="52" fillId="0" borderId="45" xfId="0" applyFont="1" applyBorder="1" applyAlignment="1">
      <alignment vertical="center"/>
    </xf>
    <xf numFmtId="0" fontId="46" fillId="15" borderId="52" xfId="0" applyFont="1" applyFill="1" applyBorder="1" applyAlignment="1">
      <alignment vertical="center" wrapText="1"/>
    </xf>
    <xf numFmtId="0" fontId="46" fillId="15" borderId="0" xfId="0" applyFont="1" applyFill="1" applyAlignment="1">
      <alignment vertical="center" wrapText="1"/>
    </xf>
    <xf numFmtId="0" fontId="46" fillId="15" borderId="54" xfId="0" applyFont="1" applyFill="1" applyBorder="1" applyAlignment="1">
      <alignment vertical="center" wrapText="1"/>
    </xf>
    <xf numFmtId="0" fontId="45" fillId="15" borderId="52" xfId="0" applyFont="1" applyFill="1" applyBorder="1" applyAlignment="1">
      <alignment vertical="center" wrapText="1"/>
    </xf>
    <xf numFmtId="0" fontId="45" fillId="15" borderId="0" xfId="0" applyFont="1" applyFill="1" applyAlignment="1">
      <alignment vertical="center" wrapText="1"/>
    </xf>
    <xf numFmtId="0" fontId="45" fillId="15" borderId="54" xfId="0" applyFont="1" applyFill="1" applyBorder="1" applyAlignment="1">
      <alignment vertical="center" wrapText="1"/>
    </xf>
    <xf numFmtId="0" fontId="43" fillId="15" borderId="52" xfId="0" applyFont="1" applyFill="1" applyBorder="1" applyAlignment="1">
      <alignment vertical="center" wrapText="1"/>
    </xf>
    <xf numFmtId="0" fontId="43" fillId="15" borderId="0" xfId="0" applyFont="1" applyFill="1" applyAlignment="1">
      <alignment vertical="center" wrapText="1"/>
    </xf>
    <xf numFmtId="0" fontId="43" fillId="15" borderId="54" xfId="0" applyFont="1" applyFill="1" applyBorder="1" applyAlignment="1">
      <alignment vertical="center" wrapText="1"/>
    </xf>
    <xf numFmtId="0" fontId="42" fillId="2" borderId="48" xfId="0" applyFont="1" applyFill="1" applyBorder="1" applyAlignment="1">
      <alignment horizontal="center"/>
    </xf>
    <xf numFmtId="0" fontId="42" fillId="2" borderId="0" xfId="0" applyFont="1" applyFill="1" applyAlignment="1">
      <alignment horizontal="center"/>
    </xf>
    <xf numFmtId="0" fontId="42" fillId="2" borderId="50" xfId="0" applyFont="1" applyFill="1" applyBorder="1" applyAlignment="1">
      <alignment horizontal="center"/>
    </xf>
    <xf numFmtId="0" fontId="11" fillId="21" borderId="42" xfId="0" applyFont="1" applyFill="1" applyBorder="1" applyAlignment="1">
      <alignment horizontal="left" vertical="center" wrapText="1"/>
    </xf>
    <xf numFmtId="0" fontId="11" fillId="21" borderId="41" xfId="0" applyFont="1" applyFill="1" applyBorder="1" applyAlignment="1">
      <alignment horizontal="left" vertical="center" wrapText="1"/>
    </xf>
    <xf numFmtId="0" fontId="11" fillId="21" borderId="44" xfId="0" applyFont="1" applyFill="1" applyBorder="1" applyAlignment="1">
      <alignment horizontal="left" vertical="center" wrapText="1"/>
    </xf>
    <xf numFmtId="0" fontId="49" fillId="0" borderId="0" xfId="0" applyFont="1" applyAlignment="1">
      <alignment wrapText="1"/>
    </xf>
    <xf numFmtId="0" fontId="4" fillId="8" borderId="0" xfId="1" applyFont="1" applyFill="1" applyBorder="1" applyAlignment="1">
      <alignment horizontal="center" vertical="center" wrapText="1"/>
    </xf>
    <xf numFmtId="0" fontId="16" fillId="0" borderId="0" xfId="1" applyFont="1" applyBorder="1" applyAlignment="1">
      <alignment wrapText="1"/>
    </xf>
    <xf numFmtId="0" fontId="4" fillId="3" borderId="0" xfId="1" applyFont="1" applyFill="1" applyBorder="1" applyAlignment="1">
      <alignment horizontal="center" vertical="center"/>
    </xf>
    <xf numFmtId="0" fontId="16" fillId="0" borderId="0" xfId="1" applyFont="1" applyBorder="1"/>
    <xf numFmtId="0" fontId="5" fillId="3" borderId="1"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16" xfId="0" applyFont="1" applyFill="1" applyBorder="1" applyAlignment="1">
      <alignment horizontal="center" vertical="center"/>
    </xf>
    <xf numFmtId="0" fontId="13" fillId="4" borderId="12" xfId="0" applyFont="1" applyFill="1" applyBorder="1" applyAlignment="1">
      <alignment horizontal="center" vertical="center"/>
    </xf>
    <xf numFmtId="0" fontId="13" fillId="4" borderId="13" xfId="0" applyFont="1" applyFill="1" applyBorder="1" applyAlignment="1">
      <alignment horizontal="center" vertical="center"/>
    </xf>
    <xf numFmtId="0" fontId="13" fillId="4" borderId="14" xfId="0" applyFont="1" applyFill="1" applyBorder="1" applyAlignment="1">
      <alignment horizontal="center" vertical="center"/>
    </xf>
    <xf numFmtId="0" fontId="13" fillId="4" borderId="5" xfId="0" applyFont="1" applyFill="1" applyBorder="1" applyAlignment="1">
      <alignment horizontal="center" vertical="center" wrapText="1"/>
    </xf>
    <xf numFmtId="0" fontId="13" fillId="4" borderId="3" xfId="0" applyFont="1" applyFill="1" applyBorder="1" applyAlignment="1">
      <alignment horizontal="center" vertical="center"/>
    </xf>
    <xf numFmtId="0" fontId="13" fillId="4" borderId="6" xfId="0" applyFont="1" applyFill="1" applyBorder="1" applyAlignment="1">
      <alignment horizontal="center" vertical="center" wrapText="1"/>
    </xf>
    <xf numFmtId="0" fontId="54" fillId="2" borderId="0" xfId="0" applyFont="1" applyFill="1" applyAlignment="1">
      <alignment horizontal="center" vertical="center"/>
    </xf>
    <xf numFmtId="0" fontId="55" fillId="2" borderId="0" xfId="0" applyFont="1" applyFill="1" applyAlignment="1">
      <alignment horizontal="center"/>
    </xf>
    <xf numFmtId="0" fontId="14" fillId="0" borderId="56" xfId="0" applyFont="1" applyBorder="1" applyAlignment="1">
      <alignment vertical="center" wrapText="1" indent="1"/>
    </xf>
    <xf numFmtId="0" fontId="11" fillId="3" borderId="13" xfId="0" applyFont="1" applyFill="1" applyBorder="1" applyAlignment="1">
      <alignment horizontal="center" vertical="center"/>
    </xf>
    <xf numFmtId="0" fontId="14" fillId="2" borderId="17" xfId="0" applyFont="1" applyFill="1" applyBorder="1"/>
    <xf numFmtId="0" fontId="2" fillId="4" borderId="56" xfId="0" applyFont="1" applyFill="1" applyBorder="1" applyAlignment="1">
      <alignment horizontal="center" vertical="center"/>
    </xf>
    <xf numFmtId="0" fontId="2" fillId="0" borderId="57" xfId="0" applyFont="1" applyBorder="1"/>
    <xf numFmtId="0" fontId="14" fillId="2" borderId="17" xfId="0" applyFont="1" applyFill="1" applyBorder="1" applyAlignment="1">
      <alignment vertical="center" wrapText="1" indent="1"/>
    </xf>
    <xf numFmtId="0" fontId="57" fillId="2" borderId="7" xfId="0" applyFont="1" applyFill="1" applyBorder="1" applyAlignment="1">
      <alignment horizontal="left" vertical="center" wrapText="1"/>
    </xf>
    <xf numFmtId="0" fontId="57" fillId="2" borderId="2" xfId="0" applyFont="1" applyFill="1" applyBorder="1" applyAlignment="1">
      <alignment horizontal="center" vertical="center" wrapText="1"/>
    </xf>
    <xf numFmtId="0" fontId="58" fillId="4" borderId="2" xfId="0" applyFont="1" applyFill="1" applyBorder="1" applyAlignment="1">
      <alignment horizontal="center" vertical="center" wrapText="1"/>
    </xf>
    <xf numFmtId="0" fontId="17" fillId="4" borderId="58" xfId="0" applyFont="1" applyFill="1" applyBorder="1" applyAlignment="1">
      <alignment horizontal="center" vertical="center" wrapText="1"/>
    </xf>
    <xf numFmtId="0" fontId="17" fillId="4" borderId="56" xfId="0" applyFont="1" applyFill="1" applyBorder="1" applyAlignment="1">
      <alignment horizontal="center" vertical="center" wrapText="1"/>
    </xf>
    <xf numFmtId="0" fontId="17" fillId="4" borderId="59" xfId="0" applyFont="1" applyFill="1" applyBorder="1" applyAlignment="1">
      <alignment horizontal="center" vertical="center" wrapText="1"/>
    </xf>
    <xf numFmtId="0" fontId="18" fillId="2" borderId="12" xfId="0" applyFont="1" applyFill="1" applyBorder="1" applyAlignment="1">
      <alignment horizontal="left" vertical="center" wrapText="1" indent="2"/>
    </xf>
    <xf numFmtId="0" fontId="18" fillId="2" borderId="13" xfId="0" applyFont="1" applyFill="1" applyBorder="1" applyAlignment="1">
      <alignment horizontal="center" vertical="center" wrapText="1"/>
    </xf>
    <xf numFmtId="0" fontId="19" fillId="4" borderId="13" xfId="0" applyFont="1" applyFill="1" applyBorder="1" applyAlignment="1">
      <alignment horizontal="center" vertical="center" wrapText="1"/>
    </xf>
    <xf numFmtId="0" fontId="19" fillId="4" borderId="14" xfId="0" applyFont="1" applyFill="1" applyBorder="1" applyAlignment="1">
      <alignment horizontal="center" vertical="center" wrapText="1"/>
    </xf>
    <xf numFmtId="0" fontId="2" fillId="4" borderId="17" xfId="0" applyFont="1" applyFill="1" applyBorder="1"/>
    <xf numFmtId="0" fontId="18" fillId="4" borderId="17" xfId="0" applyFont="1" applyFill="1" applyBorder="1" applyAlignment="1">
      <alignment horizontal="center"/>
    </xf>
    <xf numFmtId="0" fontId="0" fillId="0" borderId="0" xfId="0" applyFill="1"/>
    <xf numFmtId="0" fontId="31" fillId="18" borderId="52" xfId="0" applyFont="1" applyFill="1" applyBorder="1" applyAlignment="1">
      <alignment horizontal="left" vertical="center"/>
    </xf>
    <xf numFmtId="0" fontId="31" fillId="18" borderId="0" xfId="0" applyFont="1" applyFill="1" applyBorder="1" applyAlignment="1">
      <alignment horizontal="left" vertical="center"/>
    </xf>
    <xf numFmtId="0" fontId="59" fillId="2" borderId="48" xfId="0" applyFont="1" applyFill="1" applyBorder="1" applyAlignment="1">
      <alignment horizontal="center"/>
    </xf>
    <xf numFmtId="0" fontId="56" fillId="4" borderId="2" xfId="0" applyFont="1" applyFill="1" applyBorder="1" applyAlignment="1" applyProtection="1">
      <alignment horizontal="center"/>
      <protection locked="0"/>
    </xf>
  </cellXfs>
  <cellStyles count="2">
    <cellStyle name="Hiperlink" xfId="1" builtinId="8"/>
    <cellStyle name="Normal" xfId="0" builtinId="0"/>
  </cellStyles>
  <dxfs count="13">
    <dxf>
      <font>
        <b/>
        <i val="0"/>
        <color rgb="FFFFFFFF"/>
      </font>
      <fill>
        <patternFill patternType="solid">
          <fgColor indexed="64"/>
          <bgColor rgb="FFDC2626"/>
        </patternFill>
      </fill>
    </dxf>
    <dxf>
      <font>
        <b/>
        <i val="0"/>
        <color rgb="FFFFFFFF"/>
      </font>
      <fill>
        <patternFill patternType="solid">
          <fgColor indexed="64"/>
          <bgColor rgb="FF16A34A"/>
        </patternFill>
      </fill>
    </dxf>
    <dxf>
      <font>
        <b/>
        <i val="0"/>
        <color rgb="FFFFFFFF"/>
      </font>
      <fill>
        <patternFill patternType="solid">
          <fgColor indexed="64"/>
          <bgColor rgb="FFDC2626"/>
        </patternFill>
      </fill>
    </dxf>
    <dxf>
      <font>
        <b/>
        <i val="0"/>
        <color rgb="FFFFFFFF"/>
      </font>
      <fill>
        <patternFill patternType="solid">
          <fgColor indexed="64"/>
          <bgColor rgb="FF16A34A"/>
        </patternFill>
      </fill>
    </dxf>
    <dxf>
      <font>
        <b/>
        <i val="0"/>
        <color rgb="FF16A34A"/>
      </font>
    </dxf>
    <dxf>
      <font>
        <b/>
        <i val="0"/>
        <color rgb="FF16A34A"/>
      </font>
    </dxf>
    <dxf>
      <font>
        <b/>
        <i val="0"/>
        <color rgb="FFFFFFFF"/>
      </font>
      <fill>
        <patternFill patternType="solid">
          <fgColor indexed="64"/>
          <bgColor rgb="FF16A34A"/>
        </patternFill>
      </fill>
    </dxf>
    <dxf>
      <font>
        <b/>
        <i val="0"/>
        <color rgb="FFFFFFFF"/>
      </font>
      <fill>
        <patternFill patternType="solid">
          <fgColor indexed="64"/>
          <bgColor rgb="FF16A34A"/>
        </patternFill>
      </fill>
    </dxf>
    <dxf>
      <font>
        <b/>
        <i val="0"/>
        <color rgb="FFFFFFFF"/>
      </font>
      <fill>
        <patternFill patternType="solid">
          <fgColor indexed="64"/>
          <bgColor rgb="FFDC2626"/>
        </patternFill>
      </fill>
    </dxf>
    <dxf>
      <font>
        <b/>
        <i val="0"/>
        <color rgb="FFFFFFFF"/>
      </font>
      <fill>
        <patternFill patternType="solid">
          <fgColor indexed="64"/>
          <bgColor rgb="FF16A34A"/>
        </patternFill>
      </fill>
    </dxf>
    <dxf>
      <font>
        <b/>
        <i val="0"/>
        <color rgb="FF15803D"/>
      </font>
    </dxf>
    <dxf>
      <font>
        <b/>
        <i val="0"/>
        <color rgb="FF15803D"/>
      </font>
    </dxf>
    <dxf>
      <font>
        <b/>
        <i val="0"/>
        <color rgb="FF15803D"/>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7</xdr:col>
      <xdr:colOff>77713</xdr:colOff>
      <xdr:row>2</xdr:row>
      <xdr:rowOff>18312</xdr:rowOff>
    </xdr:from>
    <xdr:to>
      <xdr:col>7</xdr:col>
      <xdr:colOff>331713</xdr:colOff>
      <xdr:row>2</xdr:row>
      <xdr:rowOff>272312</xdr:rowOff>
    </xdr:to>
    <xdr:pic>
      <xdr:nvPicPr>
        <xdr:cNvPr id="2" name="BuySideLogo">
          <a:extLst>
            <a:ext uri="{FF2B5EF4-FFF2-40B4-BE49-F238E27FC236}">
              <a16:creationId xmlns:a16="http://schemas.microsoft.com/office/drawing/2014/main" id="{27B20D03-E86E-3EBF-0DB4-92578851499E}"/>
            </a:ext>
          </a:extLst>
        </xdr:cNvPr>
        <xdr:cNvPicPr>
          <a:picLocks noChangeAspect="1"/>
        </xdr:cNvPicPr>
      </xdr:nvPicPr>
      <xdr:blipFill>
        <a:blip xmlns:r="http://schemas.openxmlformats.org/officeDocument/2006/relationships" r:embed="rId1"/>
        <a:stretch>
          <a:fillRect/>
        </a:stretch>
      </xdr:blipFill>
      <xdr:spPr>
        <a:xfrm>
          <a:off x="4341812" y="749300"/>
          <a:ext cx="2540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2543175</xdr:colOff>
      <xdr:row>20</xdr:row>
      <xdr:rowOff>84859</xdr:rowOff>
    </xdr:from>
    <xdr:to>
      <xdr:col>2</xdr:col>
      <xdr:colOff>635289</xdr:colOff>
      <xdr:row>20</xdr:row>
      <xdr:rowOff>846859</xdr:rowOff>
    </xdr:to>
    <xdr:sp macro="" textlink="">
      <xdr:nvSpPr>
        <xdr:cNvPr id="5" name="RiskCard1">
          <a:extLst>
            <a:ext uri="{FF2B5EF4-FFF2-40B4-BE49-F238E27FC236}">
              <a16:creationId xmlns:a16="http://schemas.microsoft.com/office/drawing/2014/main" id="{A1283256-70CD-4788-B4DC-22D800B2A618}"/>
            </a:ext>
          </a:extLst>
        </xdr:cNvPr>
        <xdr:cNvSpPr/>
      </xdr:nvSpPr>
      <xdr:spPr>
        <a:xfrm>
          <a:off x="2543175" y="6838950"/>
          <a:ext cx="2032000" cy="762000"/>
        </a:xfrm>
        <a:prstGeom prst="roundRect">
          <a:avLst/>
        </a:prstGeom>
        <a:solidFill>
          <a:srgbClr val="E74C3C"/>
        </a:solidFill>
        <a:ln w="25400" cap="flat" cmpd="sng" algn="ctr">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pt-BR" sz="1600" b="1" i="0" u="none" strike="noStrike" kern="0" cap="none" spc="0" normalizeH="0" baseline="0" noProof="0">
              <a:ln>
                <a:noFill/>
              </a:ln>
              <a:solidFill>
                <a:srgbClr val="FFFFFF"/>
              </a:solidFill>
              <a:effectLst/>
              <a:uLnTx/>
              <a:uFillTx/>
              <a:latin typeface="Segoe UI"/>
              <a:cs typeface="Segoe UI"/>
            </a:rPr>
            <a:t>0–4
Risco Crítico</a:t>
          </a:r>
        </a:p>
      </xdr:txBody>
    </xdr:sp>
    <xdr:clientData/>
  </xdr:twoCellAnchor>
  <xdr:twoCellAnchor>
    <xdr:from>
      <xdr:col>2</xdr:col>
      <xdr:colOff>719871</xdr:colOff>
      <xdr:row>20</xdr:row>
      <xdr:rowOff>84859</xdr:rowOff>
    </xdr:from>
    <xdr:to>
      <xdr:col>3</xdr:col>
      <xdr:colOff>1355592</xdr:colOff>
      <xdr:row>20</xdr:row>
      <xdr:rowOff>846859</xdr:rowOff>
    </xdr:to>
    <xdr:sp macro="" textlink="">
      <xdr:nvSpPr>
        <xdr:cNvPr id="6" name="RiskCard2">
          <a:extLst>
            <a:ext uri="{FF2B5EF4-FFF2-40B4-BE49-F238E27FC236}">
              <a16:creationId xmlns:a16="http://schemas.microsoft.com/office/drawing/2014/main" id="{30BDB1DD-299D-4C95-90D4-FBA3B374AD7F}"/>
            </a:ext>
          </a:extLst>
        </xdr:cNvPr>
        <xdr:cNvSpPr/>
      </xdr:nvSpPr>
      <xdr:spPr>
        <a:xfrm>
          <a:off x="4659757" y="6838950"/>
          <a:ext cx="2032000" cy="762000"/>
        </a:xfrm>
        <a:prstGeom prst="roundRect">
          <a:avLst/>
        </a:prstGeom>
        <a:solidFill>
          <a:srgbClr val="F39C12"/>
        </a:solidFill>
        <a:ln w="25400" cap="flat" cmpd="sng" algn="ctr">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pt-BR" sz="1600" b="1" i="0" u="none" strike="noStrike" kern="0" cap="none" spc="0" normalizeH="0" baseline="0" noProof="0">
              <a:ln>
                <a:noFill/>
              </a:ln>
              <a:solidFill>
                <a:srgbClr val="FFFFFF"/>
              </a:solidFill>
              <a:effectLst/>
              <a:uLnTx/>
              <a:uFillTx/>
              <a:latin typeface="Segoe UI"/>
              <a:cs typeface="Segoe UI"/>
            </a:rPr>
            <a:t>5–6
Risco Moderado</a:t>
          </a:r>
        </a:p>
      </xdr:txBody>
    </xdr:sp>
    <xdr:clientData/>
  </xdr:twoCellAnchor>
  <xdr:twoCellAnchor>
    <xdr:from>
      <xdr:col>4</xdr:col>
      <xdr:colOff>43895</xdr:colOff>
      <xdr:row>20</xdr:row>
      <xdr:rowOff>84859</xdr:rowOff>
    </xdr:from>
    <xdr:to>
      <xdr:col>5</xdr:col>
      <xdr:colOff>679616</xdr:colOff>
      <xdr:row>20</xdr:row>
      <xdr:rowOff>846859</xdr:rowOff>
    </xdr:to>
    <xdr:sp macro="" textlink="">
      <xdr:nvSpPr>
        <xdr:cNvPr id="7" name="RiskCard3">
          <a:extLst>
            <a:ext uri="{FF2B5EF4-FFF2-40B4-BE49-F238E27FC236}">
              <a16:creationId xmlns:a16="http://schemas.microsoft.com/office/drawing/2014/main" id="{03EE5F0C-7F26-42A3-ACBA-8DF1EF7B8CD5}"/>
            </a:ext>
          </a:extLst>
        </xdr:cNvPr>
        <xdr:cNvSpPr/>
      </xdr:nvSpPr>
      <xdr:spPr>
        <a:xfrm>
          <a:off x="6776338" y="6838950"/>
          <a:ext cx="2032000" cy="762000"/>
        </a:xfrm>
        <a:prstGeom prst="roundRect">
          <a:avLst/>
        </a:prstGeom>
        <a:solidFill>
          <a:srgbClr val="16A34A"/>
        </a:solidFill>
        <a:ln w="25400" cap="flat" cmpd="sng" algn="ctr">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pt-BR" sz="1600" b="1" i="0" u="none" strike="noStrike" kern="0" cap="none" spc="0" normalizeH="0" baseline="0" noProof="0">
              <a:ln>
                <a:noFill/>
              </a:ln>
              <a:solidFill>
                <a:srgbClr val="FFFFFF"/>
              </a:solidFill>
              <a:effectLst/>
              <a:uLnTx/>
              <a:uFillTx/>
              <a:latin typeface="Segoe UI"/>
              <a:cs typeface="Segoe UI"/>
            </a:rPr>
            <a:t>7–8
Risco Baixo</a:t>
          </a:r>
        </a:p>
      </xdr:txBody>
    </xdr:sp>
    <xdr:clientData/>
  </xdr:twoCellAnchor>
  <xdr:twoCellAnchor>
    <xdr:from>
      <xdr:col>5</xdr:col>
      <xdr:colOff>764199</xdr:colOff>
      <xdr:row>20</xdr:row>
      <xdr:rowOff>84859</xdr:rowOff>
    </xdr:from>
    <xdr:to>
      <xdr:col>7</xdr:col>
      <xdr:colOff>3643</xdr:colOff>
      <xdr:row>20</xdr:row>
      <xdr:rowOff>846859</xdr:rowOff>
    </xdr:to>
    <xdr:sp macro="" textlink="">
      <xdr:nvSpPr>
        <xdr:cNvPr id="8" name="RiskCard4">
          <a:extLst>
            <a:ext uri="{FF2B5EF4-FFF2-40B4-BE49-F238E27FC236}">
              <a16:creationId xmlns:a16="http://schemas.microsoft.com/office/drawing/2014/main" id="{FB4B4394-C7CE-4DA0-BABF-B34B5C4D9FE8}"/>
            </a:ext>
          </a:extLst>
        </xdr:cNvPr>
        <xdr:cNvSpPr/>
      </xdr:nvSpPr>
      <xdr:spPr>
        <a:xfrm>
          <a:off x="8892921" y="6838950"/>
          <a:ext cx="2032000" cy="762000"/>
        </a:xfrm>
        <a:prstGeom prst="roundRect">
          <a:avLst/>
        </a:prstGeom>
        <a:solidFill>
          <a:srgbClr val="2563EB"/>
        </a:solidFill>
        <a:ln w="25400" cap="flat" cmpd="sng" algn="ctr">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pt-BR" sz="1600" b="1" i="0" u="none" strike="noStrike" kern="0" cap="none" spc="0" normalizeH="0" baseline="0" noProof="0">
              <a:ln>
                <a:noFill/>
              </a:ln>
              <a:solidFill>
                <a:srgbClr val="FFFFFF"/>
              </a:solidFill>
              <a:effectLst/>
              <a:uLnTx/>
              <a:uFillTx/>
              <a:latin typeface="Segoe UI"/>
              <a:cs typeface="Segoe UI"/>
            </a:rPr>
            <a:t>9–10
Risco Mínimo</a:t>
          </a:r>
        </a:p>
      </xdr:txBody>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3618AE3-7AEB-4939-BBFB-0E8283508CA1}">
  <we:reference id="wa200009404" version="1.0.0.8" store="pt-BR" storeType="OMEX"/>
  <we:alternateReferences>
    <we:reference id="WA200009404" version="1.0.0.8" store="" storeType="OMEX"/>
  </we:alternateReferences>
  <we:properties>
    <we:property name="claude.fileId" value="&quot;64230a1b-252d-4140-b4cc-78a117b840b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A216C-18F3-4898-9C4A-79EEF0CD1560}">
  <sheetPr codeName="Planilha1">
    <tabColor rgb="FF1A9640"/>
  </sheetPr>
  <dimension ref="A1:S80"/>
  <sheetViews>
    <sheetView zoomScale="86" zoomScaleNormal="86" workbookViewId="0">
      <selection activeCell="V6" sqref="V6"/>
    </sheetView>
  </sheetViews>
  <sheetFormatPr defaultRowHeight="15" x14ac:dyDescent="0.25"/>
  <cols>
    <col min="1" max="1" width="3.42578125" customWidth="1"/>
    <col min="2" max="3" width="9.5703125" customWidth="1"/>
    <col min="4" max="4" width="19" customWidth="1"/>
    <col min="5" max="6" width="9.5703125" customWidth="1"/>
    <col min="7" max="7" width="3" customWidth="1"/>
    <col min="8" max="9" width="9.5703125" customWidth="1"/>
    <col min="10" max="10" width="19" customWidth="1"/>
    <col min="11" max="12" width="9.5703125" customWidth="1"/>
    <col min="13" max="13" width="3" customWidth="1"/>
    <col min="14" max="15" width="9.5703125" customWidth="1"/>
    <col min="16" max="16" width="19" customWidth="1"/>
    <col min="17" max="18" width="9.5703125" customWidth="1"/>
    <col min="19" max="19" width="3.42578125" customWidth="1"/>
    <col min="20" max="26" width="12.140625" customWidth="1"/>
  </cols>
  <sheetData>
    <row r="1" spans="1:19" ht="15.95" customHeight="1" x14ac:dyDescent="0.25">
      <c r="A1" s="53"/>
      <c r="B1" s="53"/>
      <c r="C1" s="53"/>
      <c r="D1" s="53"/>
      <c r="E1" s="53"/>
      <c r="F1" s="53"/>
      <c r="G1" s="53"/>
      <c r="H1" s="53"/>
      <c r="I1" s="53"/>
      <c r="J1" s="53"/>
      <c r="K1" s="53"/>
      <c r="L1" s="53"/>
      <c r="M1" s="53"/>
      <c r="N1" s="53"/>
      <c r="O1" s="53"/>
      <c r="P1" s="53"/>
      <c r="Q1" s="53"/>
      <c r="R1" s="53"/>
      <c r="S1" s="53"/>
    </row>
    <row r="2" spans="1:19" ht="42" customHeight="1" x14ac:dyDescent="0.25">
      <c r="A2" s="119" t="s">
        <v>101</v>
      </c>
      <c r="B2" s="101"/>
      <c r="C2" s="101"/>
      <c r="D2" s="101"/>
      <c r="E2" s="101"/>
      <c r="F2" s="101"/>
      <c r="G2" s="101"/>
      <c r="H2" s="101"/>
      <c r="I2" s="101"/>
      <c r="J2" s="101"/>
      <c r="K2" s="101"/>
      <c r="L2" s="101"/>
      <c r="M2" s="101"/>
      <c r="N2" s="101"/>
      <c r="O2" s="101"/>
      <c r="P2" s="101"/>
      <c r="Q2" s="101"/>
      <c r="R2" s="101"/>
      <c r="S2" s="102"/>
    </row>
    <row r="3" spans="1:19" ht="21.95" customHeight="1" x14ac:dyDescent="0.25">
      <c r="A3" s="209" t="s">
        <v>357</v>
      </c>
      <c r="B3" s="101"/>
      <c r="C3" s="101"/>
      <c r="D3" s="101"/>
      <c r="E3" s="101"/>
      <c r="F3" s="101"/>
      <c r="G3" s="101"/>
      <c r="H3" s="101"/>
      <c r="I3" s="101"/>
      <c r="J3" s="101"/>
      <c r="K3" s="101"/>
      <c r="L3" s="101"/>
      <c r="M3" s="101"/>
      <c r="N3" s="101"/>
      <c r="O3" s="101"/>
      <c r="P3" s="101"/>
      <c r="Q3" s="101"/>
      <c r="R3" s="101"/>
      <c r="S3" s="102"/>
    </row>
    <row r="4" spans="1:19" ht="30" customHeight="1" x14ac:dyDescent="0.3">
      <c r="A4" s="210" t="s">
        <v>301</v>
      </c>
      <c r="B4" s="101"/>
      <c r="C4" s="101"/>
      <c r="D4" s="101"/>
      <c r="E4" s="101"/>
      <c r="F4" s="101"/>
      <c r="G4" s="101"/>
      <c r="H4" s="101"/>
      <c r="I4" s="101"/>
      <c r="J4" s="101"/>
      <c r="K4" s="101"/>
      <c r="L4" s="101"/>
      <c r="M4" s="101"/>
      <c r="N4" s="101"/>
      <c r="O4" s="101"/>
      <c r="P4" s="101"/>
      <c r="Q4" s="101"/>
      <c r="R4" s="101"/>
      <c r="S4" s="101"/>
    </row>
    <row r="5" spans="1:19" ht="30" customHeight="1" x14ac:dyDescent="0.25">
      <c r="A5" s="120" t="s">
        <v>302</v>
      </c>
      <c r="B5" s="101"/>
      <c r="C5" s="101"/>
      <c r="D5" s="101"/>
      <c r="E5" s="101"/>
      <c r="F5" s="101"/>
      <c r="G5" s="101"/>
      <c r="H5" s="101"/>
      <c r="I5" s="101"/>
      <c r="J5" s="101"/>
      <c r="K5" s="101"/>
      <c r="L5" s="101"/>
      <c r="M5" s="101"/>
      <c r="N5" s="101"/>
      <c r="O5" s="101"/>
      <c r="P5" s="101"/>
      <c r="Q5" s="101"/>
      <c r="R5" s="101"/>
      <c r="S5" s="102"/>
    </row>
    <row r="6" spans="1:19" ht="21.95" customHeight="1" x14ac:dyDescent="0.25">
      <c r="A6" s="112" t="s">
        <v>303</v>
      </c>
      <c r="B6" s="101"/>
      <c r="C6" s="101"/>
      <c r="D6" s="101"/>
      <c r="E6" s="101"/>
      <c r="F6" s="101"/>
      <c r="G6" s="101"/>
      <c r="H6" s="101"/>
      <c r="I6" s="101"/>
      <c r="J6" s="101"/>
      <c r="K6" s="101"/>
      <c r="L6" s="101"/>
      <c r="M6" s="101"/>
      <c r="N6" s="101"/>
      <c r="O6" s="101"/>
      <c r="P6" s="101"/>
      <c r="Q6" s="101"/>
      <c r="R6" s="101"/>
      <c r="S6" s="102"/>
    </row>
    <row r="7" spans="1:19" ht="21.95" customHeight="1" x14ac:dyDescent="0.25">
      <c r="A7" s="112" t="s">
        <v>304</v>
      </c>
      <c r="B7" s="101"/>
      <c r="C7" s="101"/>
      <c r="D7" s="101"/>
      <c r="E7" s="101"/>
      <c r="F7" s="101"/>
      <c r="G7" s="101"/>
      <c r="H7" s="101"/>
      <c r="I7" s="101"/>
      <c r="J7" s="101"/>
      <c r="K7" s="101"/>
      <c r="L7" s="101"/>
      <c r="M7" s="101"/>
      <c r="N7" s="101"/>
      <c r="O7" s="101"/>
      <c r="P7" s="101"/>
      <c r="Q7" s="101"/>
      <c r="R7" s="101"/>
      <c r="S7" s="102"/>
    </row>
    <row r="8" spans="1:19" ht="21.95" customHeight="1" x14ac:dyDescent="0.25">
      <c r="A8" s="112" t="s">
        <v>305</v>
      </c>
      <c r="B8" s="101"/>
      <c r="C8" s="101"/>
      <c r="D8" s="101"/>
      <c r="E8" s="101"/>
      <c r="F8" s="101"/>
      <c r="G8" s="101"/>
      <c r="H8" s="101"/>
      <c r="I8" s="101"/>
      <c r="J8" s="101"/>
      <c r="K8" s="101"/>
      <c r="L8" s="101"/>
      <c r="M8" s="101"/>
      <c r="N8" s="101"/>
      <c r="O8" s="101"/>
      <c r="P8" s="101"/>
      <c r="Q8" s="101"/>
      <c r="R8" s="101"/>
      <c r="S8" s="102"/>
    </row>
    <row r="9" spans="1:19" ht="21.95" customHeight="1" x14ac:dyDescent="0.25">
      <c r="A9" s="112" t="s">
        <v>332</v>
      </c>
      <c r="B9" s="113"/>
      <c r="C9" s="113"/>
      <c r="D9" s="113"/>
      <c r="E9" s="113"/>
      <c r="F9" s="113"/>
      <c r="G9" s="113"/>
      <c r="H9" s="113"/>
      <c r="I9" s="113"/>
      <c r="J9" s="113"/>
      <c r="K9" s="113"/>
      <c r="L9" s="113"/>
      <c r="M9" s="113"/>
      <c r="N9" s="113"/>
      <c r="O9" s="113"/>
      <c r="P9" s="113"/>
      <c r="Q9" s="113"/>
      <c r="R9" s="113"/>
      <c r="S9" s="112"/>
    </row>
    <row r="10" spans="1:19" ht="21.95" customHeight="1" x14ac:dyDescent="0.25">
      <c r="A10" s="53"/>
      <c r="B10" s="53"/>
      <c r="C10" s="53"/>
      <c r="D10" s="53"/>
      <c r="E10" s="53"/>
      <c r="F10" s="53"/>
      <c r="G10" s="53"/>
      <c r="H10" s="53"/>
      <c r="I10" s="53"/>
      <c r="J10" s="53"/>
      <c r="K10" s="53"/>
      <c r="L10" s="53"/>
      <c r="M10" s="53"/>
      <c r="N10" s="53"/>
      <c r="O10" s="53"/>
      <c r="P10" s="53"/>
      <c r="Q10" s="53"/>
      <c r="R10" s="53"/>
      <c r="S10" s="53"/>
    </row>
    <row r="11" spans="1:19" ht="30" customHeight="1" x14ac:dyDescent="0.25">
      <c r="A11" s="118" t="s">
        <v>102</v>
      </c>
      <c r="B11" s="113"/>
      <c r="C11" s="113"/>
      <c r="D11" s="113"/>
      <c r="E11" s="113"/>
      <c r="F11" s="113"/>
      <c r="G11" s="113"/>
      <c r="H11" s="113"/>
      <c r="I11" s="113"/>
      <c r="J11" s="113"/>
      <c r="K11" s="113"/>
      <c r="L11" s="113"/>
      <c r="M11" s="113"/>
      <c r="N11" s="113"/>
      <c r="O11" s="113"/>
      <c r="P11" s="113"/>
      <c r="Q11" s="113"/>
      <c r="R11" s="113"/>
      <c r="S11" s="112"/>
    </row>
    <row r="12" spans="1:19" ht="8.1" customHeight="1" x14ac:dyDescent="0.25">
      <c r="A12" s="53"/>
      <c r="B12" s="53"/>
      <c r="C12" s="53"/>
      <c r="D12" s="53"/>
      <c r="E12" s="53"/>
      <c r="F12" s="53"/>
      <c r="G12" s="53"/>
      <c r="H12" s="53"/>
      <c r="I12" s="53"/>
      <c r="J12" s="53"/>
      <c r="K12" s="53"/>
      <c r="L12" s="53"/>
      <c r="M12" s="53"/>
      <c r="N12" s="53"/>
      <c r="O12" s="53"/>
      <c r="P12" s="53"/>
      <c r="Q12" s="53"/>
      <c r="R12" s="53"/>
      <c r="S12" s="53"/>
    </row>
    <row r="13" spans="1:19" ht="30" customHeight="1" x14ac:dyDescent="0.25">
      <c r="A13" s="53"/>
      <c r="B13" s="117" t="s">
        <v>354</v>
      </c>
      <c r="C13" s="101"/>
      <c r="D13" s="101"/>
      <c r="E13" s="101"/>
      <c r="F13" s="101"/>
      <c r="G13" s="53"/>
      <c r="H13" s="117" t="s">
        <v>355</v>
      </c>
      <c r="I13" s="101"/>
      <c r="J13" s="101"/>
      <c r="K13" s="101"/>
      <c r="L13" s="101"/>
      <c r="M13" s="53"/>
      <c r="N13" s="117" t="s">
        <v>356</v>
      </c>
      <c r="O13" s="101"/>
      <c r="P13" s="101"/>
      <c r="Q13" s="101"/>
      <c r="R13" s="101"/>
      <c r="S13" s="53"/>
    </row>
    <row r="14" spans="1:19" ht="56.1" customHeight="1" x14ac:dyDescent="0.25">
      <c r="A14" s="53"/>
      <c r="B14" s="114" t="s">
        <v>103</v>
      </c>
      <c r="C14" s="115"/>
      <c r="D14" s="115"/>
      <c r="E14" s="115"/>
      <c r="F14" s="116"/>
      <c r="G14" s="53"/>
      <c r="H14" s="114" t="s">
        <v>104</v>
      </c>
      <c r="I14" s="115"/>
      <c r="J14" s="115"/>
      <c r="K14" s="115"/>
      <c r="L14" s="116"/>
      <c r="M14" s="53"/>
      <c r="N14" s="114" t="s">
        <v>105</v>
      </c>
      <c r="O14" s="115"/>
      <c r="P14" s="115"/>
      <c r="Q14" s="115"/>
      <c r="R14" s="116"/>
      <c r="S14" s="53"/>
    </row>
    <row r="15" spans="1:19" ht="27.95" customHeight="1" x14ac:dyDescent="0.25">
      <c r="A15" s="53"/>
      <c r="B15" s="109" t="s">
        <v>106</v>
      </c>
      <c r="C15" s="101"/>
      <c r="D15" s="101"/>
      <c r="E15" s="101"/>
      <c r="F15" s="105"/>
      <c r="G15" s="53"/>
      <c r="H15" s="109" t="s">
        <v>107</v>
      </c>
      <c r="I15" s="101"/>
      <c r="J15" s="101"/>
      <c r="K15" s="101"/>
      <c r="L15" s="105"/>
      <c r="M15" s="53"/>
      <c r="N15" s="109" t="s">
        <v>108</v>
      </c>
      <c r="O15" s="101"/>
      <c r="P15" s="101"/>
      <c r="Q15" s="101"/>
      <c r="R15" s="105"/>
      <c r="S15" s="53"/>
    </row>
    <row r="16" spans="1:19" ht="21.95" customHeight="1" x14ac:dyDescent="0.25">
      <c r="A16" s="53"/>
      <c r="B16" s="110" t="s">
        <v>306</v>
      </c>
      <c r="C16" s="101"/>
      <c r="D16" s="101"/>
      <c r="E16" s="101"/>
      <c r="F16" s="105"/>
      <c r="G16" s="53"/>
      <c r="H16" s="110" t="s">
        <v>308</v>
      </c>
      <c r="I16" s="101"/>
      <c r="J16" s="101"/>
      <c r="K16" s="101"/>
      <c r="L16" s="105"/>
      <c r="M16" s="53"/>
      <c r="N16" s="110" t="s">
        <v>310</v>
      </c>
      <c r="O16" s="101"/>
      <c r="P16" s="101"/>
      <c r="Q16" s="101"/>
      <c r="R16" s="105"/>
      <c r="S16" s="53"/>
    </row>
    <row r="17" spans="1:19" ht="21.95" customHeight="1" x14ac:dyDescent="0.25">
      <c r="A17" s="53"/>
      <c r="B17" s="110" t="s">
        <v>307</v>
      </c>
      <c r="C17" s="101"/>
      <c r="D17" s="101"/>
      <c r="E17" s="101"/>
      <c r="F17" s="105"/>
      <c r="G17" s="53"/>
      <c r="H17" s="110" t="s">
        <v>309</v>
      </c>
      <c r="I17" s="101"/>
      <c r="J17" s="101"/>
      <c r="K17" s="101"/>
      <c r="L17" s="105"/>
      <c r="M17" s="53"/>
      <c r="N17" s="110" t="s">
        <v>311</v>
      </c>
      <c r="O17" s="101"/>
      <c r="P17" s="101"/>
      <c r="Q17" s="101"/>
      <c r="R17" s="105"/>
      <c r="S17" s="53"/>
    </row>
    <row r="18" spans="1:19" ht="36" customHeight="1" x14ac:dyDescent="0.25">
      <c r="A18" s="53"/>
      <c r="B18" s="104" t="str">
        <f>HYPERLINK("#'Form. Empresa'!A1","✏️ Preencher formulário")</f>
        <v>✏️ Preencher formulário</v>
      </c>
      <c r="C18" s="101"/>
      <c r="D18" s="101"/>
      <c r="E18" s="101"/>
      <c r="F18" s="105"/>
      <c r="G18" s="53"/>
      <c r="H18" s="104" t="str">
        <f>HYPERLINK("#'Form. Tecnológico'!A1","✏️ Preencher formulário")</f>
        <v>✏️ Preencher formulário</v>
      </c>
      <c r="I18" s="101"/>
      <c r="J18" s="101"/>
      <c r="K18" s="101"/>
      <c r="L18" s="105"/>
      <c r="M18" s="53"/>
      <c r="N18" s="104" t="str">
        <f>HYPERLINK("#'Form. Financeiro'!A1","✏️ Preencher formulário")</f>
        <v>✏️ Preencher formulário</v>
      </c>
      <c r="O18" s="101"/>
      <c r="P18" s="101"/>
      <c r="Q18" s="101"/>
      <c r="R18" s="105"/>
      <c r="S18" s="53"/>
    </row>
    <row r="19" spans="1:19" ht="32.1" customHeight="1" x14ac:dyDescent="0.25">
      <c r="A19" s="53"/>
      <c r="B19" s="106" t="str">
        <f>HYPERLINK("#'Avaliação Empresas'!A1","📊 Ver tabela comparativa")</f>
        <v>📊 Ver tabela comparativa</v>
      </c>
      <c r="C19" s="107"/>
      <c r="D19" s="107"/>
      <c r="E19" s="107"/>
      <c r="F19" s="108"/>
      <c r="G19" s="53"/>
      <c r="H19" s="106" t="str">
        <f>HYPERLINK("#'Avaliação Tecnológica'!A1","📊 Ver tabela comparativa")</f>
        <v>📊 Ver tabela comparativa</v>
      </c>
      <c r="I19" s="107"/>
      <c r="J19" s="107"/>
      <c r="K19" s="107"/>
      <c r="L19" s="108"/>
      <c r="M19" s="53"/>
      <c r="N19" s="106" t="str">
        <f>HYPERLINK("#'Viabilidade Financeira'!A1","📊 Ver tabela comparativa")</f>
        <v>📊 Ver tabela comparativa</v>
      </c>
      <c r="O19" s="107"/>
      <c r="P19" s="107"/>
      <c r="Q19" s="107"/>
      <c r="R19" s="108"/>
      <c r="S19" s="53"/>
    </row>
    <row r="20" spans="1:19" ht="21.95" customHeight="1" x14ac:dyDescent="0.25">
      <c r="A20" s="53"/>
      <c r="B20" s="53"/>
      <c r="C20" s="53"/>
      <c r="D20" s="53"/>
      <c r="E20" s="53"/>
      <c r="F20" s="53"/>
      <c r="G20" s="53"/>
      <c r="H20" s="53"/>
      <c r="I20" s="53"/>
      <c r="J20" s="53"/>
      <c r="K20" s="53"/>
      <c r="L20" s="53"/>
      <c r="M20" s="53"/>
      <c r="N20" s="53"/>
      <c r="O20" s="53"/>
      <c r="P20" s="53"/>
      <c r="Q20" s="53"/>
      <c r="R20" s="53"/>
      <c r="S20" s="53"/>
    </row>
    <row r="21" spans="1:19" ht="30" customHeight="1" x14ac:dyDescent="0.25">
      <c r="A21" s="111" t="s">
        <v>109</v>
      </c>
      <c r="B21" s="101"/>
      <c r="C21" s="101"/>
      <c r="D21" s="101"/>
      <c r="E21" s="101"/>
      <c r="F21" s="101"/>
      <c r="G21" s="101"/>
      <c r="H21" s="101"/>
      <c r="I21" s="101"/>
      <c r="J21" s="101"/>
      <c r="K21" s="101"/>
      <c r="L21" s="101"/>
      <c r="M21" s="101"/>
      <c r="N21" s="101"/>
      <c r="O21" s="101"/>
      <c r="P21" s="101"/>
      <c r="Q21" s="101"/>
      <c r="R21" s="101"/>
      <c r="S21" s="102"/>
    </row>
    <row r="22" spans="1:19" ht="99.95" customHeight="1" x14ac:dyDescent="0.25">
      <c r="A22" s="100" t="str">
        <f>IF(COUNTA('Form. Empresa'!C9,'Form. Empresa'!C29,'Form. Empresa'!C49,'Form. Empresa'!C69,'Form. Empresa'!C89,'Form. Empresa'!C109)=0,"⏳  Aguardando o preenchimento dos formulários das empresas",IF(COUNTIF('Pontuação Geral'!B14:G14,"*Finalista*")&lt;2,"📊  Pontue as propostas e escolha 2 finalistas na aba Pontuação Geral","✅  Finalistas: "&amp;LEFT(IF(ISNUMBER(SEARCH("Finalista",'Pontuação Geral'!B14)),'Pontuação Geral'!B5&amp;"   +   ","")&amp;IF(ISNUMBER(SEARCH("Finalista",'Pontuação Geral'!C14)),'Pontuação Geral'!C5&amp;"   +   ","")&amp;IF(ISNUMBER(SEARCH("Finalista",'Pontuação Geral'!D14)),'Pontuação Geral'!D5&amp;"   +   ","")&amp;IF(ISNUMBER(SEARCH("Finalista",'Pontuação Geral'!E14)),'Pontuação Geral'!E5&amp;"   +   ","")&amp;IF(ISNUMBER(SEARCH("Finalista",'Pontuação Geral'!F14)),'Pontuação Geral'!F5&amp;"   +   ","")&amp;IF(ISNUMBER(SEARCH("Finalista",'Pontuação Geral'!G14)),'Pontuação Geral'!G5&amp;"   +   ",""),LEN(IF(ISNUMBER(SEARCH("Finalista",'Pontuação Geral'!B14)),'Pontuação Geral'!B5&amp;"   +   ","")&amp;IF(ISNUMBER(SEARCH("Finalista",'Pontuação Geral'!C14)),'Pontuação Geral'!C5&amp;"   +   ","")&amp;IF(ISNUMBER(SEARCH("Finalista",'Pontuação Geral'!D14)),'Pontuação Geral'!D5&amp;"   +   ","")&amp;IF(ISNUMBER(SEARCH("Finalista",'Pontuação Geral'!E14)),'Pontuação Geral'!E5&amp;"   +   ","")&amp;IF(ISNUMBER(SEARCH("Finalista",'Pontuação Geral'!F14)),'Pontuação Geral'!F5&amp;"   +   ","")&amp;IF(ISNUMBER(SEARCH("Finalista",'Pontuação Geral'!G14)),'Pontuação Geral'!G5&amp;"   +   ",""))-7)))</f>
        <v>✅  Finalistas: RENOVA   +   SOLI SOLAR</v>
      </c>
      <c r="B22" s="101"/>
      <c r="C22" s="101"/>
      <c r="D22" s="101"/>
      <c r="E22" s="101"/>
      <c r="F22" s="101"/>
      <c r="G22" s="101"/>
      <c r="H22" s="101"/>
      <c r="I22" s="101"/>
      <c r="J22" s="101"/>
      <c r="K22" s="101"/>
      <c r="L22" s="101"/>
      <c r="M22" s="101"/>
      <c r="N22" s="101"/>
      <c r="O22" s="101"/>
      <c r="P22" s="101"/>
      <c r="Q22" s="101"/>
      <c r="R22" s="101"/>
      <c r="S22" s="102"/>
    </row>
    <row r="23" spans="1:19" ht="32.1" customHeight="1" x14ac:dyDescent="0.25">
      <c r="A23" s="103" t="str">
        <f>HYPERLINK("#'Pontuação Geral'!A1","🏆 Ver detalhes do resultado")</f>
        <v>🏆 Ver detalhes do resultado</v>
      </c>
      <c r="B23" s="101"/>
      <c r="C23" s="101"/>
      <c r="D23" s="101"/>
      <c r="E23" s="101"/>
      <c r="F23" s="101"/>
      <c r="G23" s="101"/>
      <c r="H23" s="101"/>
      <c r="I23" s="101"/>
      <c r="J23" s="101"/>
      <c r="K23" s="101"/>
      <c r="L23" s="101"/>
      <c r="M23" s="101"/>
      <c r="N23" s="101"/>
      <c r="O23" s="101"/>
      <c r="P23" s="101"/>
      <c r="Q23" s="101"/>
      <c r="R23" s="101"/>
      <c r="S23" s="102"/>
    </row>
    <row r="24" spans="1:19" ht="21.95" customHeight="1" x14ac:dyDescent="0.25">
      <c r="A24" s="53"/>
      <c r="B24" s="53"/>
      <c r="C24" s="53"/>
      <c r="D24" s="53"/>
      <c r="E24" s="53"/>
      <c r="F24" s="53"/>
      <c r="G24" s="53"/>
      <c r="H24" s="53"/>
      <c r="I24" s="53"/>
      <c r="J24" s="53"/>
      <c r="K24" s="53"/>
      <c r="L24" s="53"/>
      <c r="M24" s="53"/>
      <c r="N24" s="53"/>
      <c r="O24" s="53"/>
      <c r="P24" s="53"/>
      <c r="Q24" s="53"/>
      <c r="R24" s="53"/>
      <c r="S24" s="53"/>
    </row>
    <row r="25" spans="1:19" ht="12" customHeight="1" x14ac:dyDescent="0.25">
      <c r="A25" s="93" t="s">
        <v>339</v>
      </c>
    </row>
    <row r="26" spans="1:19" ht="12" customHeight="1" x14ac:dyDescent="0.25">
      <c r="A26" s="93" t="s">
        <v>340</v>
      </c>
    </row>
    <row r="27" spans="1:19" ht="12" customHeight="1" x14ac:dyDescent="0.25"/>
    <row r="28" spans="1:19" ht="12" customHeight="1" x14ac:dyDescent="0.25"/>
    <row r="29" spans="1:19" ht="12" customHeight="1" x14ac:dyDescent="0.25"/>
    <row r="30" spans="1:19" ht="12" customHeight="1" x14ac:dyDescent="0.25"/>
    <row r="31" spans="1:19" ht="12" customHeight="1" x14ac:dyDescent="0.25"/>
    <row r="32" spans="1:19" ht="38.1" customHeight="1" x14ac:dyDescent="0.25"/>
    <row r="33" ht="12" customHeight="1" x14ac:dyDescent="0.25"/>
    <row r="34" ht="18" customHeight="1" x14ac:dyDescent="0.25"/>
    <row r="35" ht="18" customHeight="1" x14ac:dyDescent="0.25"/>
    <row r="36" ht="18" customHeight="1" x14ac:dyDescent="0.25"/>
    <row r="37" ht="18" customHeight="1" x14ac:dyDescent="0.25"/>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sheetData>
  <sheetProtection sheet="1" objects="1" scenarios="1"/>
  <mergeCells count="33">
    <mergeCell ref="A2:S2"/>
    <mergeCell ref="A3:S3"/>
    <mergeCell ref="A5:S5"/>
    <mergeCell ref="A6:S6"/>
    <mergeCell ref="A7:S7"/>
    <mergeCell ref="A4:S4"/>
    <mergeCell ref="A8:S8"/>
    <mergeCell ref="A9:S9"/>
    <mergeCell ref="B16:F16"/>
    <mergeCell ref="H14:L14"/>
    <mergeCell ref="H15:L15"/>
    <mergeCell ref="H16:L16"/>
    <mergeCell ref="B13:F13"/>
    <mergeCell ref="A11:S11"/>
    <mergeCell ref="H13:L13"/>
    <mergeCell ref="N13:R13"/>
    <mergeCell ref="B14:F14"/>
    <mergeCell ref="B15:F15"/>
    <mergeCell ref="N14:R14"/>
    <mergeCell ref="N15:R15"/>
    <mergeCell ref="N16:R16"/>
    <mergeCell ref="N17:R17"/>
    <mergeCell ref="N18:R18"/>
    <mergeCell ref="A21:S21"/>
    <mergeCell ref="B17:F17"/>
    <mergeCell ref="B18:F18"/>
    <mergeCell ref="H17:L17"/>
    <mergeCell ref="A22:S22"/>
    <mergeCell ref="A23:S23"/>
    <mergeCell ref="H18:L18"/>
    <mergeCell ref="H19:L19"/>
    <mergeCell ref="N19:R19"/>
    <mergeCell ref="B19:F19"/>
  </mergeCell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DB804-3B9B-4B6E-A167-3C760A042022}">
  <sheetPr codeName="Planilha2">
    <tabColor rgb="FF2E5FA3"/>
  </sheetPr>
  <dimension ref="A1:I129"/>
  <sheetViews>
    <sheetView workbookViewId="0">
      <selection activeCell="E44" sqref="E44"/>
    </sheetView>
  </sheetViews>
  <sheetFormatPr defaultRowHeight="15" x14ac:dyDescent="0.25"/>
  <cols>
    <col min="1" max="1" width="5.7109375" customWidth="1"/>
    <col min="2" max="2" width="66.7109375" customWidth="1"/>
    <col min="3" max="3" width="39.85546875" customWidth="1"/>
    <col min="4" max="9" width="13.28515625" customWidth="1"/>
  </cols>
  <sheetData>
    <row r="1" spans="2:9" ht="9.9499999999999993" customHeight="1" x14ac:dyDescent="0.25"/>
    <row r="2" spans="2:9" ht="39.950000000000003" customHeight="1" x14ac:dyDescent="0.3">
      <c r="B2" s="129" t="s">
        <v>190</v>
      </c>
      <c r="C2" s="125"/>
      <c r="D2" s="2"/>
      <c r="E2" s="2"/>
      <c r="F2" s="2"/>
      <c r="G2" s="2"/>
      <c r="H2" s="2"/>
      <c r="I2" s="2"/>
    </row>
    <row r="3" spans="2:9" ht="27.95" customHeight="1" x14ac:dyDescent="0.3">
      <c r="B3" s="130" t="s">
        <v>220</v>
      </c>
      <c r="C3" s="125"/>
      <c r="D3" s="2"/>
      <c r="E3" s="2"/>
      <c r="F3" s="2"/>
      <c r="G3" s="2"/>
      <c r="H3" s="2"/>
      <c r="I3" s="2"/>
    </row>
    <row r="4" spans="2:9" ht="9.9499999999999993" customHeight="1" thickBot="1" x14ac:dyDescent="0.35">
      <c r="B4" s="2"/>
      <c r="C4" s="2"/>
      <c r="D4" s="2"/>
      <c r="E4" s="2"/>
      <c r="F4" s="2"/>
      <c r="G4" s="2"/>
      <c r="H4" s="2"/>
      <c r="I4" s="2"/>
    </row>
    <row r="5" spans="2:9" ht="24" customHeight="1" thickBot="1" x14ac:dyDescent="0.35">
      <c r="B5" s="3" t="s">
        <v>131</v>
      </c>
      <c r="C5" s="4" t="s">
        <v>193</v>
      </c>
      <c r="D5" s="2"/>
      <c r="E5" s="2"/>
      <c r="F5" s="2"/>
      <c r="G5" s="2"/>
      <c r="H5" s="2"/>
      <c r="I5" s="2"/>
    </row>
    <row r="6" spans="2:9" ht="27.95" customHeight="1" x14ac:dyDescent="0.3">
      <c r="B6" s="2"/>
      <c r="C6" s="2"/>
      <c r="D6" s="2"/>
      <c r="E6" s="2"/>
      <c r="F6" s="2"/>
      <c r="G6" s="2"/>
      <c r="H6" s="2"/>
      <c r="I6" s="2"/>
    </row>
    <row r="7" spans="2:9" ht="15.95" customHeight="1" thickBot="1" x14ac:dyDescent="0.35">
      <c r="B7" s="2"/>
      <c r="C7" s="2"/>
      <c r="D7" s="123" t="s">
        <v>210</v>
      </c>
      <c r="E7" s="124"/>
      <c r="F7" s="124"/>
      <c r="G7" s="124"/>
      <c r="H7" s="124"/>
      <c r="I7" s="124"/>
    </row>
    <row r="8" spans="2:9" ht="27.95" customHeight="1" thickBot="1" x14ac:dyDescent="0.35">
      <c r="B8" s="126" t="s">
        <v>110</v>
      </c>
      <c r="C8" s="127"/>
      <c r="D8" s="5">
        <v>1</v>
      </c>
      <c r="E8" s="6">
        <v>2</v>
      </c>
      <c r="F8" s="6">
        <v>3</v>
      </c>
      <c r="G8" s="6">
        <v>4</v>
      </c>
      <c r="H8" s="6">
        <v>5</v>
      </c>
      <c r="I8" s="7">
        <v>6</v>
      </c>
    </row>
    <row r="9" spans="2:9" ht="32.1" customHeight="1" x14ac:dyDescent="0.3">
      <c r="B9" s="8" t="s">
        <v>211</v>
      </c>
      <c r="C9" s="9" t="s">
        <v>349</v>
      </c>
      <c r="D9" s="2"/>
      <c r="E9" s="2"/>
      <c r="F9" s="2"/>
      <c r="G9" s="2"/>
      <c r="H9" s="2"/>
      <c r="I9" s="2"/>
    </row>
    <row r="10" spans="2:9" ht="27.95" customHeight="1" x14ac:dyDescent="0.3">
      <c r="B10" s="121" t="s">
        <v>111</v>
      </c>
      <c r="C10" s="122"/>
      <c r="D10" s="2"/>
      <c r="E10" s="2"/>
      <c r="F10" s="2"/>
      <c r="G10" s="2"/>
      <c r="H10" s="2"/>
      <c r="I10" s="2"/>
    </row>
    <row r="11" spans="2:9" ht="27.95" customHeight="1" x14ac:dyDescent="0.3">
      <c r="B11" s="10" t="s">
        <v>112</v>
      </c>
      <c r="C11" s="11">
        <v>2021</v>
      </c>
      <c r="D11" s="2"/>
      <c r="E11" s="2"/>
      <c r="F11" s="2"/>
      <c r="G11" s="2"/>
      <c r="H11" s="2"/>
      <c r="I11" s="2"/>
    </row>
    <row r="12" spans="2:9" ht="27.95" customHeight="1" x14ac:dyDescent="0.3">
      <c r="B12" s="10" t="s">
        <v>4</v>
      </c>
      <c r="C12" s="11">
        <v>2020</v>
      </c>
      <c r="D12" s="2"/>
      <c r="E12" s="2"/>
      <c r="F12" s="2"/>
      <c r="G12" s="2"/>
      <c r="H12" s="2"/>
      <c r="I12" s="2"/>
    </row>
    <row r="13" spans="2:9" ht="27.95" customHeight="1" x14ac:dyDescent="0.3">
      <c r="B13" s="10" t="s">
        <v>113</v>
      </c>
      <c r="C13" s="11" t="s">
        <v>6</v>
      </c>
      <c r="D13" s="2"/>
      <c r="E13" s="2"/>
      <c r="F13" s="2"/>
      <c r="G13" s="2"/>
      <c r="H13" s="2"/>
      <c r="I13" s="2"/>
    </row>
    <row r="14" spans="2:9" ht="27.95" customHeight="1" x14ac:dyDescent="0.3">
      <c r="B14" s="10" t="s">
        <v>114</v>
      </c>
      <c r="C14" s="11">
        <v>2004</v>
      </c>
      <c r="D14" s="2"/>
      <c r="E14" s="2"/>
      <c r="F14" s="2"/>
      <c r="G14" s="2"/>
      <c r="H14" s="2"/>
      <c r="I14" s="2"/>
    </row>
    <row r="15" spans="2:9" ht="27.95" customHeight="1" x14ac:dyDescent="0.3">
      <c r="B15" s="10" t="s">
        <v>115</v>
      </c>
      <c r="C15" s="11" t="s">
        <v>132</v>
      </c>
      <c r="D15" s="2"/>
      <c r="E15" s="2"/>
      <c r="F15" s="2"/>
      <c r="G15" s="2"/>
      <c r="H15" s="2"/>
      <c r="I15" s="2"/>
    </row>
    <row r="16" spans="2:9" ht="27.95" customHeight="1" x14ac:dyDescent="0.3">
      <c r="B16" s="10" t="s">
        <v>116</v>
      </c>
      <c r="C16" s="11" t="s">
        <v>10</v>
      </c>
      <c r="D16" s="2"/>
      <c r="E16" s="2"/>
      <c r="F16" s="2"/>
      <c r="G16" s="2"/>
      <c r="H16" s="2"/>
      <c r="I16" s="2"/>
    </row>
    <row r="17" spans="2:9" ht="27.95" customHeight="1" x14ac:dyDescent="0.3">
      <c r="B17" s="121" t="s">
        <v>117</v>
      </c>
      <c r="C17" s="122"/>
      <c r="D17" s="2"/>
      <c r="E17" s="2"/>
      <c r="F17" s="2"/>
      <c r="G17" s="2"/>
      <c r="H17" s="2"/>
      <c r="I17" s="2"/>
    </row>
    <row r="18" spans="2:9" ht="27.95" customHeight="1" x14ac:dyDescent="0.3">
      <c r="B18" s="10" t="s">
        <v>118</v>
      </c>
      <c r="C18" s="11" t="s">
        <v>13</v>
      </c>
      <c r="D18" s="2"/>
      <c r="E18" s="2"/>
      <c r="F18" s="2"/>
      <c r="G18" s="2"/>
      <c r="H18" s="2"/>
      <c r="I18" s="2"/>
    </row>
    <row r="19" spans="2:9" ht="32.1" customHeight="1" x14ac:dyDescent="0.3">
      <c r="B19" s="10" t="s">
        <v>119</v>
      </c>
      <c r="C19" s="11" t="s">
        <v>15</v>
      </c>
      <c r="D19" s="2"/>
      <c r="E19" s="2"/>
      <c r="F19" s="2"/>
      <c r="G19" s="2"/>
      <c r="H19" s="2"/>
      <c r="I19" s="2"/>
    </row>
    <row r="20" spans="2:9" ht="26.1" customHeight="1" x14ac:dyDescent="0.3">
      <c r="B20" s="121" t="s">
        <v>120</v>
      </c>
      <c r="C20" s="122"/>
      <c r="D20" s="2"/>
      <c r="E20" s="2"/>
      <c r="F20" s="2"/>
      <c r="G20" s="2"/>
      <c r="H20" s="2"/>
      <c r="I20" s="2"/>
    </row>
    <row r="21" spans="2:9" ht="27.95" customHeight="1" x14ac:dyDescent="0.3">
      <c r="B21" s="10" t="s">
        <v>121</v>
      </c>
      <c r="C21" s="11" t="s">
        <v>6</v>
      </c>
      <c r="D21" s="2"/>
      <c r="E21" s="2"/>
      <c r="F21" s="2"/>
      <c r="G21" s="2"/>
      <c r="H21" s="2"/>
      <c r="I21" s="2"/>
    </row>
    <row r="22" spans="2:9" ht="27.95" customHeight="1" x14ac:dyDescent="0.3">
      <c r="B22" s="10" t="s">
        <v>18</v>
      </c>
      <c r="C22" s="11" t="s">
        <v>19</v>
      </c>
      <c r="D22" s="2"/>
      <c r="E22" s="2"/>
      <c r="F22" s="2"/>
      <c r="G22" s="2"/>
      <c r="H22" s="2"/>
      <c r="I22" s="2"/>
    </row>
    <row r="23" spans="2:9" ht="26.1" customHeight="1" x14ac:dyDescent="0.3">
      <c r="B23" s="121" t="s">
        <v>122</v>
      </c>
      <c r="C23" s="122"/>
      <c r="D23" s="2"/>
      <c r="E23" s="2"/>
      <c r="F23" s="2"/>
      <c r="G23" s="2"/>
      <c r="H23" s="2"/>
      <c r="I23" s="2"/>
    </row>
    <row r="24" spans="2:9" ht="27.95" customHeight="1" x14ac:dyDescent="0.3">
      <c r="B24" s="10" t="s">
        <v>123</v>
      </c>
      <c r="C24" s="11" t="s">
        <v>6</v>
      </c>
      <c r="D24" s="2"/>
      <c r="E24" s="2"/>
      <c r="F24" s="2"/>
      <c r="G24" s="2"/>
      <c r="H24" s="2"/>
      <c r="I24" s="2"/>
    </row>
    <row r="25" spans="2:9" ht="26.1" customHeight="1" x14ac:dyDescent="0.3">
      <c r="B25" s="121" t="s">
        <v>124</v>
      </c>
      <c r="C25" s="122"/>
      <c r="D25" s="2"/>
      <c r="E25" s="2"/>
      <c r="F25" s="2"/>
      <c r="G25" s="2"/>
      <c r="H25" s="2"/>
      <c r="I25" s="2"/>
    </row>
    <row r="26" spans="2:9" ht="27.95" customHeight="1" x14ac:dyDescent="0.3">
      <c r="B26" s="211" t="s">
        <v>125</v>
      </c>
      <c r="C26" s="214" t="s">
        <v>6</v>
      </c>
      <c r="D26" s="2"/>
      <c r="E26" s="2"/>
      <c r="F26" s="2"/>
      <c r="G26" s="2"/>
      <c r="H26" s="2"/>
      <c r="I26" s="2"/>
    </row>
    <row r="27" spans="2:9" ht="24" customHeight="1" thickBot="1" x14ac:dyDescent="0.35">
      <c r="B27" s="213" t="s">
        <v>358</v>
      </c>
      <c r="C27" s="233"/>
      <c r="D27" s="123" t="s">
        <v>210</v>
      </c>
      <c r="E27" s="124"/>
      <c r="F27" s="124"/>
      <c r="G27" s="124"/>
      <c r="H27" s="124"/>
      <c r="I27" s="124"/>
    </row>
    <row r="28" spans="2:9" ht="32.1" customHeight="1" thickBot="1" x14ac:dyDescent="0.35">
      <c r="B28" s="212" t="s">
        <v>126</v>
      </c>
      <c r="C28" s="215"/>
      <c r="D28" s="6">
        <v>1</v>
      </c>
      <c r="E28" s="5">
        <v>2</v>
      </c>
      <c r="F28" s="6">
        <v>3</v>
      </c>
      <c r="G28" s="6">
        <v>4</v>
      </c>
      <c r="H28" s="6">
        <v>5</v>
      </c>
      <c r="I28" s="7">
        <v>6</v>
      </c>
    </row>
    <row r="29" spans="2:9" ht="32.1" customHeight="1" x14ac:dyDescent="0.3">
      <c r="B29" s="8" t="s">
        <v>211</v>
      </c>
      <c r="C29" s="9" t="s">
        <v>350</v>
      </c>
      <c r="D29" s="2"/>
      <c r="E29" s="2"/>
      <c r="F29" s="2"/>
      <c r="G29" s="2"/>
      <c r="H29" s="2"/>
      <c r="I29" s="2"/>
    </row>
    <row r="30" spans="2:9" ht="26.1" customHeight="1" x14ac:dyDescent="0.3">
      <c r="B30" s="121" t="s">
        <v>111</v>
      </c>
      <c r="C30" s="122"/>
      <c r="D30" s="2"/>
      <c r="E30" s="2"/>
      <c r="F30" s="2"/>
      <c r="G30" s="2"/>
      <c r="H30" s="2"/>
      <c r="I30" s="2"/>
    </row>
    <row r="31" spans="2:9" ht="27.95" customHeight="1" x14ac:dyDescent="0.3">
      <c r="B31" s="10" t="s">
        <v>112</v>
      </c>
      <c r="C31" s="11"/>
      <c r="D31" s="2"/>
      <c r="E31" s="2"/>
      <c r="F31" s="2"/>
      <c r="G31" s="2"/>
      <c r="H31" s="2"/>
      <c r="I31" s="2"/>
    </row>
    <row r="32" spans="2:9" ht="27.95" customHeight="1" x14ac:dyDescent="0.3">
      <c r="B32" s="10" t="s">
        <v>4</v>
      </c>
      <c r="C32" s="11"/>
      <c r="D32" s="2"/>
      <c r="E32" s="2"/>
      <c r="F32" s="2"/>
      <c r="G32" s="2"/>
      <c r="H32" s="2"/>
      <c r="I32" s="2"/>
    </row>
    <row r="33" spans="2:9" ht="27.95" customHeight="1" x14ac:dyDescent="0.3">
      <c r="B33" s="10" t="s">
        <v>113</v>
      </c>
      <c r="C33" s="11"/>
      <c r="D33" s="2"/>
      <c r="E33" s="2"/>
      <c r="F33" s="2"/>
      <c r="G33" s="2"/>
      <c r="H33" s="2"/>
      <c r="I33" s="2"/>
    </row>
    <row r="34" spans="2:9" ht="27.95" customHeight="1" x14ac:dyDescent="0.3">
      <c r="B34" s="10" t="s">
        <v>114</v>
      </c>
      <c r="C34" s="11"/>
      <c r="D34" s="2"/>
      <c r="E34" s="2"/>
      <c r="F34" s="2"/>
      <c r="G34" s="2"/>
      <c r="H34" s="2"/>
      <c r="I34" s="2"/>
    </row>
    <row r="35" spans="2:9" ht="27.95" customHeight="1" x14ac:dyDescent="0.3">
      <c r="B35" s="10" t="s">
        <v>115</v>
      </c>
      <c r="C35" s="11"/>
      <c r="D35" s="2"/>
      <c r="E35" s="2"/>
      <c r="F35" s="2"/>
      <c r="G35" s="2"/>
      <c r="H35" s="2"/>
      <c r="I35" s="2"/>
    </row>
    <row r="36" spans="2:9" ht="27.95" customHeight="1" x14ac:dyDescent="0.3">
      <c r="B36" s="10" t="s">
        <v>116</v>
      </c>
      <c r="C36" s="11"/>
      <c r="D36" s="2"/>
      <c r="E36" s="2"/>
      <c r="F36" s="2"/>
      <c r="G36" s="2"/>
      <c r="H36" s="2"/>
      <c r="I36" s="2"/>
    </row>
    <row r="37" spans="2:9" ht="26.1" customHeight="1" x14ac:dyDescent="0.3">
      <c r="B37" s="121" t="s">
        <v>117</v>
      </c>
      <c r="C37" s="122"/>
      <c r="D37" s="2"/>
      <c r="E37" s="2"/>
      <c r="F37" s="2"/>
      <c r="G37" s="2"/>
      <c r="H37" s="2"/>
      <c r="I37" s="2"/>
    </row>
    <row r="38" spans="2:9" ht="27.95" customHeight="1" x14ac:dyDescent="0.3">
      <c r="B38" s="10" t="s">
        <v>118</v>
      </c>
      <c r="C38" s="11"/>
      <c r="D38" s="2"/>
      <c r="E38" s="2"/>
      <c r="F38" s="2"/>
      <c r="G38" s="2"/>
      <c r="H38" s="2"/>
      <c r="I38" s="2"/>
    </row>
    <row r="39" spans="2:9" ht="27.95" customHeight="1" x14ac:dyDescent="0.3">
      <c r="B39" s="10" t="s">
        <v>119</v>
      </c>
      <c r="C39" s="11"/>
      <c r="D39" s="2"/>
      <c r="E39" s="2"/>
      <c r="F39" s="2"/>
      <c r="G39" s="2"/>
      <c r="H39" s="2"/>
      <c r="I39" s="2"/>
    </row>
    <row r="40" spans="2:9" ht="26.1" customHeight="1" x14ac:dyDescent="0.3">
      <c r="B40" s="121" t="s">
        <v>120</v>
      </c>
      <c r="C40" s="122"/>
      <c r="D40" s="2"/>
      <c r="E40" s="2"/>
      <c r="F40" s="2"/>
      <c r="G40" s="2"/>
      <c r="H40" s="2"/>
      <c r="I40" s="2"/>
    </row>
    <row r="41" spans="2:9" ht="27.95" customHeight="1" x14ac:dyDescent="0.3">
      <c r="B41" s="10" t="s">
        <v>121</v>
      </c>
      <c r="C41" s="11"/>
      <c r="D41" s="2"/>
      <c r="E41" s="2"/>
      <c r="F41" s="2"/>
      <c r="G41" s="2"/>
      <c r="H41" s="2"/>
      <c r="I41" s="2"/>
    </row>
    <row r="42" spans="2:9" ht="27.95" customHeight="1" x14ac:dyDescent="0.3">
      <c r="B42" s="10" t="s">
        <v>18</v>
      </c>
      <c r="C42" s="11"/>
      <c r="D42" s="2"/>
      <c r="E42" s="2"/>
      <c r="F42" s="2"/>
      <c r="G42" s="2"/>
      <c r="H42" s="2"/>
      <c r="I42" s="2"/>
    </row>
    <row r="43" spans="2:9" ht="26.1" customHeight="1" x14ac:dyDescent="0.3">
      <c r="B43" s="121" t="s">
        <v>122</v>
      </c>
      <c r="C43" s="122"/>
      <c r="D43" s="2"/>
      <c r="E43" s="2"/>
      <c r="F43" s="2"/>
      <c r="G43" s="2"/>
      <c r="H43" s="2"/>
      <c r="I43" s="2"/>
    </row>
    <row r="44" spans="2:9" ht="27.95" customHeight="1" x14ac:dyDescent="0.3">
      <c r="B44" s="10" t="s">
        <v>123</v>
      </c>
      <c r="C44" s="11"/>
      <c r="D44" s="2"/>
      <c r="E44" s="2"/>
      <c r="F44" s="2"/>
      <c r="G44" s="2"/>
      <c r="H44" s="2"/>
      <c r="I44" s="2"/>
    </row>
    <row r="45" spans="2:9" ht="26.1" customHeight="1" x14ac:dyDescent="0.3">
      <c r="B45" s="121" t="s">
        <v>124</v>
      </c>
      <c r="C45" s="122"/>
      <c r="D45" s="2"/>
      <c r="E45" s="2"/>
      <c r="F45" s="2"/>
      <c r="G45" s="2"/>
      <c r="H45" s="2"/>
      <c r="I45" s="2"/>
    </row>
    <row r="46" spans="2:9" ht="27.95" customHeight="1" x14ac:dyDescent="0.3">
      <c r="B46" s="211" t="s">
        <v>125</v>
      </c>
      <c r="C46" s="214"/>
      <c r="D46" s="2"/>
      <c r="E46" s="2"/>
      <c r="F46" s="2"/>
      <c r="G46" s="2"/>
      <c r="H46" s="2"/>
      <c r="I46" s="2"/>
    </row>
    <row r="47" spans="2:9" ht="24" customHeight="1" thickBot="1" x14ac:dyDescent="0.35">
      <c r="B47" s="213" t="s">
        <v>358</v>
      </c>
      <c r="C47" s="233"/>
      <c r="D47" s="123" t="s">
        <v>210</v>
      </c>
      <c r="E47" s="125"/>
      <c r="F47" s="125"/>
      <c r="G47" s="125"/>
      <c r="H47" s="125"/>
      <c r="I47" s="125"/>
    </row>
    <row r="48" spans="2:9" ht="32.1" customHeight="1" thickBot="1" x14ac:dyDescent="0.35">
      <c r="B48" s="212" t="s">
        <v>127</v>
      </c>
      <c r="C48" s="215"/>
      <c r="D48" s="6">
        <v>1</v>
      </c>
      <c r="E48" s="6">
        <v>2</v>
      </c>
      <c r="F48" s="5">
        <v>3</v>
      </c>
      <c r="G48" s="6">
        <v>4</v>
      </c>
      <c r="H48" s="6">
        <v>5</v>
      </c>
      <c r="I48" s="7">
        <v>6</v>
      </c>
    </row>
    <row r="49" spans="2:9" ht="32.1" customHeight="1" x14ac:dyDescent="0.3">
      <c r="B49" s="8" t="s">
        <v>211</v>
      </c>
      <c r="C49" s="9" t="s">
        <v>351</v>
      </c>
      <c r="D49" s="2"/>
      <c r="E49" s="2"/>
      <c r="F49" s="2"/>
      <c r="G49" s="2"/>
      <c r="H49" s="2"/>
      <c r="I49" s="2"/>
    </row>
    <row r="50" spans="2:9" ht="26.1" customHeight="1" x14ac:dyDescent="0.3">
      <c r="B50" s="121" t="s">
        <v>111</v>
      </c>
      <c r="C50" s="122"/>
      <c r="D50" s="2"/>
      <c r="E50" s="2"/>
      <c r="F50" s="2"/>
      <c r="G50" s="2"/>
      <c r="H50" s="2"/>
      <c r="I50" s="2"/>
    </row>
    <row r="51" spans="2:9" ht="27.95" customHeight="1" x14ac:dyDescent="0.3">
      <c r="B51" s="10" t="s">
        <v>112</v>
      </c>
      <c r="C51" s="11"/>
      <c r="D51" s="2"/>
      <c r="E51" s="2"/>
      <c r="F51" s="2"/>
      <c r="G51" s="2"/>
      <c r="H51" s="2"/>
      <c r="I51" s="2"/>
    </row>
    <row r="52" spans="2:9" ht="27.95" customHeight="1" x14ac:dyDescent="0.3">
      <c r="B52" s="10" t="s">
        <v>4</v>
      </c>
      <c r="C52" s="11"/>
      <c r="D52" s="2"/>
      <c r="E52" s="2"/>
      <c r="F52" s="2"/>
      <c r="G52" s="2"/>
      <c r="H52" s="2"/>
      <c r="I52" s="2"/>
    </row>
    <row r="53" spans="2:9" ht="27.95" customHeight="1" x14ac:dyDescent="0.3">
      <c r="B53" s="10" t="s">
        <v>113</v>
      </c>
      <c r="C53" s="11"/>
      <c r="D53" s="2"/>
      <c r="E53" s="2"/>
      <c r="F53" s="2"/>
      <c r="G53" s="2"/>
      <c r="H53" s="2"/>
      <c r="I53" s="2"/>
    </row>
    <row r="54" spans="2:9" ht="27.95" customHeight="1" x14ac:dyDescent="0.3">
      <c r="B54" s="10" t="s">
        <v>114</v>
      </c>
      <c r="C54" s="11"/>
      <c r="D54" s="2"/>
      <c r="E54" s="2"/>
      <c r="F54" s="2"/>
      <c r="G54" s="2"/>
      <c r="H54" s="2"/>
      <c r="I54" s="2"/>
    </row>
    <row r="55" spans="2:9" ht="27.95" customHeight="1" x14ac:dyDescent="0.3">
      <c r="B55" s="10" t="s">
        <v>115</v>
      </c>
      <c r="C55" s="11"/>
      <c r="D55" s="2"/>
      <c r="E55" s="2"/>
      <c r="F55" s="2"/>
      <c r="G55" s="2"/>
      <c r="H55" s="2"/>
      <c r="I55" s="2"/>
    </row>
    <row r="56" spans="2:9" ht="27.95" customHeight="1" x14ac:dyDescent="0.3">
      <c r="B56" s="10" t="s">
        <v>116</v>
      </c>
      <c r="C56" s="11"/>
      <c r="D56" s="2"/>
      <c r="E56" s="2"/>
      <c r="F56" s="2"/>
      <c r="G56" s="2"/>
      <c r="H56" s="2"/>
      <c r="I56" s="2"/>
    </row>
    <row r="57" spans="2:9" ht="26.1" customHeight="1" x14ac:dyDescent="0.3">
      <c r="B57" s="121" t="s">
        <v>117</v>
      </c>
      <c r="C57" s="122"/>
      <c r="D57" s="2"/>
      <c r="E57" s="2"/>
      <c r="F57" s="2"/>
      <c r="G57" s="2"/>
      <c r="H57" s="2"/>
      <c r="I57" s="2"/>
    </row>
    <row r="58" spans="2:9" ht="27.95" customHeight="1" x14ac:dyDescent="0.3">
      <c r="B58" s="10" t="s">
        <v>118</v>
      </c>
      <c r="C58" s="11"/>
      <c r="D58" s="2"/>
      <c r="E58" s="2"/>
      <c r="F58" s="2"/>
      <c r="G58" s="2"/>
      <c r="H58" s="2"/>
      <c r="I58" s="2"/>
    </row>
    <row r="59" spans="2:9" ht="27.95" customHeight="1" x14ac:dyDescent="0.3">
      <c r="B59" s="10" t="s">
        <v>119</v>
      </c>
      <c r="C59" s="11"/>
      <c r="D59" s="2"/>
      <c r="E59" s="2"/>
      <c r="F59" s="2"/>
      <c r="G59" s="2"/>
      <c r="H59" s="2"/>
      <c r="I59" s="2"/>
    </row>
    <row r="60" spans="2:9" ht="26.1" customHeight="1" x14ac:dyDescent="0.3">
      <c r="B60" s="121" t="s">
        <v>120</v>
      </c>
      <c r="C60" s="122"/>
      <c r="D60" s="2"/>
      <c r="E60" s="2"/>
      <c r="F60" s="2"/>
      <c r="G60" s="2"/>
      <c r="H60" s="2"/>
      <c r="I60" s="2"/>
    </row>
    <row r="61" spans="2:9" ht="27.95" customHeight="1" x14ac:dyDescent="0.3">
      <c r="B61" s="10" t="s">
        <v>121</v>
      </c>
      <c r="C61" s="11"/>
      <c r="D61" s="2"/>
      <c r="E61" s="2"/>
      <c r="F61" s="2"/>
      <c r="G61" s="2"/>
      <c r="H61" s="2"/>
      <c r="I61" s="2"/>
    </row>
    <row r="62" spans="2:9" ht="27.95" customHeight="1" x14ac:dyDescent="0.3">
      <c r="B62" s="10" t="s">
        <v>18</v>
      </c>
      <c r="C62" s="11"/>
      <c r="D62" s="2"/>
      <c r="E62" s="2"/>
      <c r="F62" s="2"/>
      <c r="G62" s="2"/>
      <c r="H62" s="2"/>
      <c r="I62" s="2"/>
    </row>
    <row r="63" spans="2:9" ht="26.1" customHeight="1" x14ac:dyDescent="0.3">
      <c r="B63" s="121" t="s">
        <v>122</v>
      </c>
      <c r="C63" s="122"/>
      <c r="D63" s="2"/>
      <c r="E63" s="2"/>
      <c r="F63" s="2"/>
      <c r="G63" s="2"/>
      <c r="H63" s="2"/>
      <c r="I63" s="2"/>
    </row>
    <row r="64" spans="2:9" ht="27.95" customHeight="1" x14ac:dyDescent="0.3">
      <c r="B64" s="10" t="s">
        <v>123</v>
      </c>
      <c r="C64" s="11"/>
      <c r="D64" s="2"/>
      <c r="E64" s="2"/>
      <c r="F64" s="2"/>
      <c r="G64" s="2"/>
      <c r="H64" s="2"/>
      <c r="I64" s="2"/>
    </row>
    <row r="65" spans="2:9" ht="26.1" customHeight="1" x14ac:dyDescent="0.3">
      <c r="B65" s="121" t="s">
        <v>124</v>
      </c>
      <c r="C65" s="122"/>
      <c r="D65" s="2"/>
      <c r="E65" s="2"/>
      <c r="F65" s="2"/>
      <c r="G65" s="2"/>
      <c r="H65" s="2"/>
      <c r="I65" s="2"/>
    </row>
    <row r="66" spans="2:9" ht="27.95" customHeight="1" x14ac:dyDescent="0.3">
      <c r="B66" s="211" t="s">
        <v>125</v>
      </c>
      <c r="C66" s="214"/>
      <c r="D66" s="2"/>
      <c r="E66" s="2"/>
      <c r="F66" s="2"/>
      <c r="G66" s="2"/>
      <c r="H66" s="2"/>
      <c r="I66" s="2"/>
    </row>
    <row r="67" spans="2:9" ht="24" customHeight="1" thickBot="1" x14ac:dyDescent="0.35">
      <c r="B67" s="213" t="s">
        <v>358</v>
      </c>
      <c r="C67" s="233"/>
      <c r="D67" s="123" t="s">
        <v>210</v>
      </c>
      <c r="E67" s="125"/>
      <c r="F67" s="125"/>
      <c r="G67" s="125"/>
      <c r="H67" s="125"/>
      <c r="I67" s="125"/>
    </row>
    <row r="68" spans="2:9" ht="32.1" customHeight="1" thickBot="1" x14ac:dyDescent="0.35">
      <c r="B68" s="212" t="s">
        <v>128</v>
      </c>
      <c r="C68" s="215"/>
      <c r="D68" s="6">
        <v>1</v>
      </c>
      <c r="E68" s="6">
        <v>2</v>
      </c>
      <c r="F68" s="6">
        <v>3</v>
      </c>
      <c r="G68" s="5">
        <v>4</v>
      </c>
      <c r="H68" s="6">
        <v>5</v>
      </c>
      <c r="I68" s="7">
        <v>6</v>
      </c>
    </row>
    <row r="69" spans="2:9" ht="32.1" customHeight="1" x14ac:dyDescent="0.3">
      <c r="B69" s="8" t="s">
        <v>211</v>
      </c>
      <c r="C69" s="9" t="s">
        <v>352</v>
      </c>
      <c r="D69" s="2"/>
      <c r="E69" s="2"/>
      <c r="F69" s="2"/>
      <c r="G69" s="2"/>
      <c r="H69" s="2"/>
      <c r="I69" s="2"/>
    </row>
    <row r="70" spans="2:9" ht="26.1" customHeight="1" x14ac:dyDescent="0.3">
      <c r="B70" s="121" t="s">
        <v>111</v>
      </c>
      <c r="C70" s="122"/>
      <c r="D70" s="2"/>
      <c r="E70" s="2"/>
      <c r="F70" s="2"/>
      <c r="G70" s="2"/>
      <c r="H70" s="2"/>
      <c r="I70" s="2"/>
    </row>
    <row r="71" spans="2:9" ht="27.95" customHeight="1" x14ac:dyDescent="0.3">
      <c r="B71" s="10" t="s">
        <v>112</v>
      </c>
      <c r="C71" s="11"/>
      <c r="D71" s="2"/>
      <c r="E71" s="2"/>
      <c r="F71" s="2"/>
      <c r="G71" s="2"/>
      <c r="H71" s="2"/>
      <c r="I71" s="2"/>
    </row>
    <row r="72" spans="2:9" ht="27.95" customHeight="1" x14ac:dyDescent="0.3">
      <c r="B72" s="10" t="s">
        <v>4</v>
      </c>
      <c r="C72" s="11"/>
      <c r="D72" s="2"/>
      <c r="E72" s="2"/>
      <c r="F72" s="2"/>
      <c r="G72" s="2"/>
      <c r="H72" s="2"/>
      <c r="I72" s="2"/>
    </row>
    <row r="73" spans="2:9" ht="27.95" customHeight="1" x14ac:dyDescent="0.3">
      <c r="B73" s="10" t="s">
        <v>113</v>
      </c>
      <c r="C73" s="11"/>
      <c r="D73" s="2"/>
      <c r="E73" s="2"/>
      <c r="F73" s="2"/>
      <c r="G73" s="2"/>
      <c r="H73" s="2"/>
      <c r="I73" s="2"/>
    </row>
    <row r="74" spans="2:9" ht="27.95" customHeight="1" x14ac:dyDescent="0.3">
      <c r="B74" s="10" t="s">
        <v>114</v>
      </c>
      <c r="C74" s="11"/>
      <c r="D74" s="2"/>
      <c r="E74" s="2"/>
      <c r="F74" s="2"/>
      <c r="G74" s="2"/>
      <c r="H74" s="2"/>
      <c r="I74" s="2"/>
    </row>
    <row r="75" spans="2:9" ht="27.95" customHeight="1" x14ac:dyDescent="0.3">
      <c r="B75" s="10" t="s">
        <v>115</v>
      </c>
      <c r="C75" s="11"/>
      <c r="D75" s="2"/>
      <c r="E75" s="2"/>
      <c r="F75" s="2"/>
      <c r="G75" s="2"/>
      <c r="H75" s="2"/>
      <c r="I75" s="2"/>
    </row>
    <row r="76" spans="2:9" ht="27.95" customHeight="1" x14ac:dyDescent="0.3">
      <c r="B76" s="10" t="s">
        <v>116</v>
      </c>
      <c r="C76" s="11"/>
      <c r="D76" s="2"/>
      <c r="E76" s="2"/>
      <c r="F76" s="2"/>
      <c r="G76" s="2"/>
      <c r="H76" s="2"/>
      <c r="I76" s="2"/>
    </row>
    <row r="77" spans="2:9" ht="26.1" customHeight="1" x14ac:dyDescent="0.3">
      <c r="B77" s="121" t="s">
        <v>117</v>
      </c>
      <c r="C77" s="122"/>
      <c r="D77" s="2"/>
      <c r="E77" s="2"/>
      <c r="F77" s="2"/>
      <c r="G77" s="2"/>
      <c r="H77" s="2"/>
      <c r="I77" s="2"/>
    </row>
    <row r="78" spans="2:9" ht="27.95" customHeight="1" x14ac:dyDescent="0.3">
      <c r="B78" s="10" t="s">
        <v>118</v>
      </c>
      <c r="C78" s="11"/>
      <c r="D78" s="2"/>
      <c r="E78" s="2"/>
      <c r="F78" s="2"/>
      <c r="G78" s="2"/>
      <c r="H78" s="2"/>
      <c r="I78" s="2"/>
    </row>
    <row r="79" spans="2:9" ht="27.95" customHeight="1" x14ac:dyDescent="0.3">
      <c r="B79" s="10" t="s">
        <v>119</v>
      </c>
      <c r="C79" s="11"/>
      <c r="D79" s="2"/>
      <c r="E79" s="2"/>
      <c r="F79" s="2"/>
      <c r="G79" s="2"/>
      <c r="H79" s="2"/>
      <c r="I79" s="2"/>
    </row>
    <row r="80" spans="2:9" ht="26.1" customHeight="1" x14ac:dyDescent="0.3">
      <c r="B80" s="121" t="s">
        <v>120</v>
      </c>
      <c r="C80" s="122"/>
      <c r="D80" s="2"/>
      <c r="E80" s="2"/>
      <c r="F80" s="2"/>
      <c r="G80" s="2"/>
      <c r="H80" s="2"/>
      <c r="I80" s="2"/>
    </row>
    <row r="81" spans="2:9" ht="27.95" customHeight="1" x14ac:dyDescent="0.3">
      <c r="B81" s="10" t="s">
        <v>121</v>
      </c>
      <c r="C81" s="11"/>
      <c r="D81" s="2"/>
      <c r="E81" s="2"/>
      <c r="F81" s="2"/>
      <c r="G81" s="2"/>
      <c r="H81" s="2"/>
      <c r="I81" s="2"/>
    </row>
    <row r="82" spans="2:9" ht="27.95" customHeight="1" x14ac:dyDescent="0.3">
      <c r="B82" s="10" t="s">
        <v>18</v>
      </c>
      <c r="C82" s="11"/>
      <c r="D82" s="2"/>
      <c r="E82" s="2"/>
      <c r="F82" s="2"/>
      <c r="G82" s="2"/>
      <c r="H82" s="2"/>
      <c r="I82" s="2"/>
    </row>
    <row r="83" spans="2:9" ht="26.1" customHeight="1" x14ac:dyDescent="0.3">
      <c r="B83" s="121" t="s">
        <v>122</v>
      </c>
      <c r="C83" s="122"/>
      <c r="D83" s="2"/>
      <c r="E83" s="2"/>
      <c r="F83" s="2"/>
      <c r="G83" s="2"/>
      <c r="H83" s="2"/>
      <c r="I83" s="2"/>
    </row>
    <row r="84" spans="2:9" ht="27.95" customHeight="1" x14ac:dyDescent="0.3">
      <c r="B84" s="10" t="s">
        <v>123</v>
      </c>
      <c r="C84" s="11"/>
      <c r="D84" s="2"/>
      <c r="E84" s="2"/>
      <c r="F84" s="2"/>
      <c r="G84" s="2"/>
      <c r="H84" s="2"/>
      <c r="I84" s="2"/>
    </row>
    <row r="85" spans="2:9" ht="26.1" customHeight="1" x14ac:dyDescent="0.3">
      <c r="B85" s="128" t="s">
        <v>124</v>
      </c>
      <c r="C85" s="122"/>
      <c r="D85" s="2"/>
      <c r="E85" s="2"/>
      <c r="F85" s="2"/>
      <c r="G85" s="2"/>
      <c r="H85" s="2"/>
      <c r="I85" s="2"/>
    </row>
    <row r="86" spans="2:9" ht="27.95" customHeight="1" x14ac:dyDescent="0.3">
      <c r="B86" s="211" t="s">
        <v>125</v>
      </c>
      <c r="C86" s="214"/>
      <c r="D86" s="2"/>
      <c r="E86" s="2"/>
      <c r="F86" s="2"/>
      <c r="G86" s="2"/>
      <c r="H86" s="2"/>
      <c r="I86" s="2"/>
    </row>
    <row r="87" spans="2:9" ht="24" customHeight="1" thickBot="1" x14ac:dyDescent="0.35">
      <c r="B87" s="213" t="s">
        <v>358</v>
      </c>
      <c r="C87" s="233"/>
      <c r="D87" s="123" t="s">
        <v>210</v>
      </c>
      <c r="E87" s="125"/>
      <c r="F87" s="125"/>
      <c r="G87" s="125"/>
      <c r="H87" s="125"/>
      <c r="I87" s="125"/>
    </row>
    <row r="88" spans="2:9" ht="32.1" customHeight="1" thickBot="1" x14ac:dyDescent="0.35">
      <c r="B88" s="212" t="s">
        <v>129</v>
      </c>
      <c r="C88" s="215"/>
      <c r="D88" s="6">
        <v>1</v>
      </c>
      <c r="E88" s="6">
        <v>2</v>
      </c>
      <c r="F88" s="6">
        <v>3</v>
      </c>
      <c r="G88" s="6">
        <v>4</v>
      </c>
      <c r="H88" s="5">
        <v>5</v>
      </c>
      <c r="I88" s="7">
        <v>6</v>
      </c>
    </row>
    <row r="89" spans="2:9" ht="32.1" customHeight="1" x14ac:dyDescent="0.3">
      <c r="B89" s="8" t="s">
        <v>211</v>
      </c>
      <c r="C89" s="9" t="s">
        <v>336</v>
      </c>
      <c r="D89" s="2"/>
      <c r="E89" s="2"/>
      <c r="F89" s="2"/>
      <c r="G89" s="2"/>
      <c r="H89" s="2"/>
      <c r="I89" s="2"/>
    </row>
    <row r="90" spans="2:9" ht="26.1" customHeight="1" x14ac:dyDescent="0.3">
      <c r="B90" s="121" t="s">
        <v>111</v>
      </c>
      <c r="C90" s="122"/>
      <c r="D90" s="2"/>
      <c r="E90" s="2"/>
      <c r="F90" s="2"/>
      <c r="G90" s="2"/>
      <c r="H90" s="2"/>
      <c r="I90" s="2"/>
    </row>
    <row r="91" spans="2:9" ht="27.95" customHeight="1" x14ac:dyDescent="0.3">
      <c r="B91" s="10" t="s">
        <v>112</v>
      </c>
      <c r="C91" s="11"/>
      <c r="D91" s="2"/>
      <c r="E91" s="2"/>
      <c r="F91" s="2"/>
      <c r="G91" s="2"/>
      <c r="H91" s="2"/>
      <c r="I91" s="2"/>
    </row>
    <row r="92" spans="2:9" ht="27.95" customHeight="1" x14ac:dyDescent="0.3">
      <c r="B92" s="10" t="s">
        <v>4</v>
      </c>
      <c r="C92" s="11"/>
      <c r="D92" s="2"/>
      <c r="E92" s="2"/>
      <c r="F92" s="2"/>
      <c r="G92" s="2"/>
      <c r="H92" s="2"/>
      <c r="I92" s="2"/>
    </row>
    <row r="93" spans="2:9" ht="27.95" customHeight="1" x14ac:dyDescent="0.3">
      <c r="B93" s="10" t="s">
        <v>113</v>
      </c>
      <c r="C93" s="11"/>
      <c r="D93" s="2"/>
      <c r="E93" s="2"/>
      <c r="F93" s="2"/>
      <c r="G93" s="2"/>
      <c r="H93" s="2"/>
      <c r="I93" s="2"/>
    </row>
    <row r="94" spans="2:9" ht="27.95" customHeight="1" x14ac:dyDescent="0.3">
      <c r="B94" s="10" t="s">
        <v>114</v>
      </c>
      <c r="C94" s="11"/>
      <c r="D94" s="2"/>
      <c r="E94" s="2"/>
      <c r="F94" s="2"/>
      <c r="G94" s="2"/>
      <c r="H94" s="2"/>
      <c r="I94" s="2"/>
    </row>
    <row r="95" spans="2:9" ht="27.95" customHeight="1" x14ac:dyDescent="0.3">
      <c r="B95" s="10" t="s">
        <v>115</v>
      </c>
      <c r="C95" s="11"/>
      <c r="D95" s="2"/>
      <c r="E95" s="2"/>
      <c r="F95" s="2"/>
      <c r="G95" s="2"/>
      <c r="H95" s="2"/>
      <c r="I95" s="2"/>
    </row>
    <row r="96" spans="2:9" ht="27.95" customHeight="1" x14ac:dyDescent="0.3">
      <c r="B96" s="10" t="s">
        <v>116</v>
      </c>
      <c r="C96" s="11"/>
      <c r="D96" s="2"/>
      <c r="E96" s="2"/>
      <c r="F96" s="2"/>
      <c r="G96" s="2"/>
      <c r="H96" s="2"/>
      <c r="I96" s="2"/>
    </row>
    <row r="97" spans="2:9" ht="26.1" customHeight="1" x14ac:dyDescent="0.3">
      <c r="B97" s="121" t="s">
        <v>117</v>
      </c>
      <c r="C97" s="122"/>
      <c r="D97" s="2"/>
      <c r="E97" s="2"/>
      <c r="F97" s="2"/>
      <c r="G97" s="2"/>
      <c r="H97" s="2"/>
      <c r="I97" s="2"/>
    </row>
    <row r="98" spans="2:9" ht="27.95" customHeight="1" x14ac:dyDescent="0.3">
      <c r="B98" s="10" t="s">
        <v>118</v>
      </c>
      <c r="C98" s="11"/>
      <c r="D98" s="2"/>
      <c r="E98" s="2"/>
      <c r="F98" s="2"/>
      <c r="G98" s="2"/>
      <c r="H98" s="2"/>
      <c r="I98" s="2"/>
    </row>
    <row r="99" spans="2:9" ht="27.95" customHeight="1" x14ac:dyDescent="0.3">
      <c r="B99" s="10" t="s">
        <v>119</v>
      </c>
      <c r="C99" s="11"/>
      <c r="D99" s="2"/>
      <c r="E99" s="2"/>
      <c r="F99" s="2"/>
      <c r="G99" s="2"/>
      <c r="H99" s="2"/>
      <c r="I99" s="2"/>
    </row>
    <row r="100" spans="2:9" ht="26.1" customHeight="1" x14ac:dyDescent="0.3">
      <c r="B100" s="121" t="s">
        <v>120</v>
      </c>
      <c r="C100" s="122"/>
      <c r="D100" s="2"/>
      <c r="E100" s="2"/>
      <c r="F100" s="2"/>
      <c r="G100" s="2"/>
      <c r="H100" s="2"/>
      <c r="I100" s="2"/>
    </row>
    <row r="101" spans="2:9" ht="27.95" customHeight="1" x14ac:dyDescent="0.3">
      <c r="B101" s="10" t="s">
        <v>121</v>
      </c>
      <c r="C101" s="11"/>
      <c r="D101" s="2"/>
      <c r="E101" s="2"/>
      <c r="F101" s="2"/>
      <c r="G101" s="2"/>
      <c r="H101" s="2"/>
      <c r="I101" s="2"/>
    </row>
    <row r="102" spans="2:9" ht="27.95" customHeight="1" x14ac:dyDescent="0.3">
      <c r="B102" s="10" t="s">
        <v>18</v>
      </c>
      <c r="C102" s="11"/>
      <c r="D102" s="2"/>
      <c r="E102" s="2"/>
      <c r="F102" s="2"/>
      <c r="G102" s="2"/>
      <c r="H102" s="2"/>
      <c r="I102" s="2"/>
    </row>
    <row r="103" spans="2:9" ht="26.1" customHeight="1" x14ac:dyDescent="0.3">
      <c r="B103" s="121" t="s">
        <v>122</v>
      </c>
      <c r="C103" s="122"/>
      <c r="D103" s="2"/>
      <c r="E103" s="2"/>
      <c r="F103" s="2"/>
      <c r="G103" s="2"/>
      <c r="H103" s="2"/>
      <c r="I103" s="2"/>
    </row>
    <row r="104" spans="2:9" ht="27.95" customHeight="1" x14ac:dyDescent="0.3">
      <c r="B104" s="10" t="s">
        <v>123</v>
      </c>
      <c r="C104" s="11"/>
      <c r="D104" s="2"/>
      <c r="E104" s="2"/>
      <c r="F104" s="2"/>
      <c r="G104" s="2"/>
      <c r="H104" s="2"/>
      <c r="I104" s="2"/>
    </row>
    <row r="105" spans="2:9" ht="26.1" customHeight="1" x14ac:dyDescent="0.3">
      <c r="B105" s="121" t="s">
        <v>124</v>
      </c>
      <c r="C105" s="122"/>
      <c r="D105" s="2"/>
      <c r="E105" s="2"/>
      <c r="F105" s="2"/>
      <c r="G105" s="2"/>
      <c r="H105" s="2"/>
      <c r="I105" s="2"/>
    </row>
    <row r="106" spans="2:9" ht="27.95" customHeight="1" x14ac:dyDescent="0.3">
      <c r="B106" s="211" t="s">
        <v>125</v>
      </c>
      <c r="C106" s="214"/>
      <c r="D106" s="2"/>
      <c r="E106" s="2"/>
      <c r="F106" s="2"/>
      <c r="G106" s="2"/>
      <c r="H106" s="2"/>
      <c r="I106" s="2"/>
    </row>
    <row r="107" spans="2:9" ht="24" customHeight="1" thickBot="1" x14ac:dyDescent="0.35">
      <c r="B107" s="213" t="s">
        <v>358</v>
      </c>
      <c r="C107" s="233"/>
      <c r="D107" s="123" t="s">
        <v>210</v>
      </c>
      <c r="E107" s="125"/>
      <c r="F107" s="125"/>
      <c r="G107" s="125"/>
      <c r="H107" s="125"/>
      <c r="I107" s="125"/>
    </row>
    <row r="108" spans="2:9" ht="32.1" customHeight="1" thickBot="1" x14ac:dyDescent="0.35">
      <c r="B108" s="212" t="s">
        <v>130</v>
      </c>
      <c r="C108" s="215"/>
      <c r="D108" s="6">
        <v>1</v>
      </c>
      <c r="E108" s="6">
        <v>2</v>
      </c>
      <c r="F108" s="6">
        <v>3</v>
      </c>
      <c r="G108" s="6">
        <v>4</v>
      </c>
      <c r="H108" s="6">
        <v>5</v>
      </c>
      <c r="I108" s="12">
        <v>6</v>
      </c>
    </row>
    <row r="109" spans="2:9" ht="32.1" customHeight="1" x14ac:dyDescent="0.3">
      <c r="B109" s="8" t="s">
        <v>211</v>
      </c>
      <c r="C109" s="9" t="s">
        <v>353</v>
      </c>
      <c r="D109" s="2"/>
      <c r="E109" s="2"/>
      <c r="F109" s="2"/>
      <c r="G109" s="2"/>
      <c r="H109" s="2"/>
      <c r="I109" s="2"/>
    </row>
    <row r="110" spans="2:9" ht="26.1" customHeight="1" x14ac:dyDescent="0.3">
      <c r="B110" s="121" t="s">
        <v>111</v>
      </c>
      <c r="C110" s="122"/>
      <c r="D110" s="2"/>
      <c r="E110" s="2"/>
      <c r="F110" s="2"/>
      <c r="G110" s="2"/>
      <c r="H110" s="2"/>
      <c r="I110" s="2"/>
    </row>
    <row r="111" spans="2:9" ht="27.95" customHeight="1" x14ac:dyDescent="0.3">
      <c r="B111" s="10" t="s">
        <v>112</v>
      </c>
      <c r="C111" s="11"/>
      <c r="D111" s="2"/>
      <c r="E111" s="2"/>
      <c r="F111" s="2"/>
      <c r="G111" s="2"/>
      <c r="H111" s="2"/>
      <c r="I111" s="2"/>
    </row>
    <row r="112" spans="2:9" ht="27.95" customHeight="1" x14ac:dyDescent="0.3">
      <c r="B112" s="10" t="s">
        <v>4</v>
      </c>
      <c r="C112" s="11"/>
      <c r="D112" s="2"/>
      <c r="E112" s="2"/>
      <c r="F112" s="2"/>
      <c r="G112" s="2"/>
      <c r="H112" s="2"/>
      <c r="I112" s="2"/>
    </row>
    <row r="113" spans="1:9" ht="27.95" customHeight="1" x14ac:dyDescent="0.3">
      <c r="B113" s="10" t="s">
        <v>113</v>
      </c>
      <c r="C113" s="11"/>
      <c r="D113" s="2"/>
      <c r="E113" s="2"/>
      <c r="F113" s="2"/>
      <c r="G113" s="2"/>
      <c r="H113" s="2"/>
      <c r="I113" s="2"/>
    </row>
    <row r="114" spans="1:9" ht="27.95" customHeight="1" x14ac:dyDescent="0.3">
      <c r="B114" s="10" t="s">
        <v>114</v>
      </c>
      <c r="C114" s="11"/>
      <c r="D114" s="2"/>
      <c r="E114" s="2"/>
      <c r="F114" s="2"/>
      <c r="G114" s="2"/>
      <c r="H114" s="2"/>
      <c r="I114" s="2"/>
    </row>
    <row r="115" spans="1:9" ht="27.95" customHeight="1" x14ac:dyDescent="0.3">
      <c r="B115" s="10" t="s">
        <v>115</v>
      </c>
      <c r="C115" s="11"/>
      <c r="D115" s="2"/>
      <c r="E115" s="2"/>
      <c r="F115" s="2"/>
      <c r="G115" s="2"/>
      <c r="H115" s="2"/>
      <c r="I115" s="2"/>
    </row>
    <row r="116" spans="1:9" ht="27.95" customHeight="1" x14ac:dyDescent="0.3">
      <c r="B116" s="10" t="s">
        <v>116</v>
      </c>
      <c r="C116" s="11"/>
      <c r="D116" s="2"/>
      <c r="E116" s="2"/>
      <c r="F116" s="2"/>
      <c r="G116" s="2"/>
      <c r="H116" s="2"/>
      <c r="I116" s="2"/>
    </row>
    <row r="117" spans="1:9" ht="26.1" customHeight="1" x14ac:dyDescent="0.3">
      <c r="B117" s="121" t="s">
        <v>117</v>
      </c>
      <c r="C117" s="122"/>
      <c r="D117" s="2"/>
      <c r="E117" s="2"/>
      <c r="F117" s="2"/>
      <c r="G117" s="2"/>
      <c r="H117" s="2"/>
      <c r="I117" s="2"/>
    </row>
    <row r="118" spans="1:9" ht="27.95" customHeight="1" x14ac:dyDescent="0.3">
      <c r="B118" s="10" t="s">
        <v>118</v>
      </c>
      <c r="C118" s="11"/>
      <c r="D118" s="2"/>
      <c r="E118" s="2"/>
      <c r="F118" s="2"/>
      <c r="G118" s="2"/>
      <c r="H118" s="2"/>
      <c r="I118" s="2"/>
    </row>
    <row r="119" spans="1:9" ht="27.95" customHeight="1" x14ac:dyDescent="0.3">
      <c r="B119" s="10" t="s">
        <v>119</v>
      </c>
      <c r="C119" s="11"/>
      <c r="D119" s="2"/>
      <c r="E119" s="2"/>
      <c r="F119" s="2"/>
      <c r="G119" s="2"/>
      <c r="H119" s="2"/>
      <c r="I119" s="2"/>
    </row>
    <row r="120" spans="1:9" ht="26.1" customHeight="1" x14ac:dyDescent="0.3">
      <c r="B120" s="121" t="s">
        <v>120</v>
      </c>
      <c r="C120" s="122"/>
      <c r="D120" s="2"/>
      <c r="E120" s="2"/>
      <c r="F120" s="2"/>
      <c r="G120" s="2"/>
      <c r="H120" s="2"/>
      <c r="I120" s="2"/>
    </row>
    <row r="121" spans="1:9" ht="27.95" customHeight="1" x14ac:dyDescent="0.3">
      <c r="B121" s="10" t="s">
        <v>121</v>
      </c>
      <c r="C121" s="11"/>
      <c r="D121" s="2"/>
      <c r="E121" s="2"/>
      <c r="F121" s="2"/>
      <c r="G121" s="2"/>
      <c r="H121" s="2"/>
      <c r="I121" s="2"/>
    </row>
    <row r="122" spans="1:9" ht="27.95" customHeight="1" x14ac:dyDescent="0.3">
      <c r="B122" s="10" t="s">
        <v>18</v>
      </c>
      <c r="C122" s="11"/>
      <c r="D122" s="2"/>
      <c r="E122" s="2"/>
      <c r="F122" s="2"/>
      <c r="G122" s="2"/>
      <c r="H122" s="2"/>
      <c r="I122" s="2"/>
    </row>
    <row r="123" spans="1:9" ht="26.1" customHeight="1" x14ac:dyDescent="0.3">
      <c r="B123" s="121" t="s">
        <v>122</v>
      </c>
      <c r="C123" s="122"/>
      <c r="D123" s="2"/>
      <c r="E123" s="2"/>
      <c r="F123" s="2"/>
      <c r="G123" s="2"/>
      <c r="H123" s="2"/>
      <c r="I123" s="2"/>
    </row>
    <row r="124" spans="1:9" ht="27.95" customHeight="1" x14ac:dyDescent="0.3">
      <c r="B124" s="10" t="s">
        <v>123</v>
      </c>
      <c r="C124" s="11"/>
      <c r="D124" s="2"/>
      <c r="E124" s="2"/>
      <c r="F124" s="2"/>
      <c r="G124" s="2"/>
      <c r="H124" s="2"/>
      <c r="I124" s="2"/>
    </row>
    <row r="125" spans="1:9" ht="26.1" customHeight="1" x14ac:dyDescent="0.3">
      <c r="B125" s="121" t="s">
        <v>124</v>
      </c>
      <c r="C125" s="122"/>
      <c r="D125" s="2"/>
      <c r="E125" s="2"/>
      <c r="F125" s="2"/>
      <c r="G125" s="2"/>
      <c r="H125" s="2"/>
      <c r="I125" s="2"/>
    </row>
    <row r="126" spans="1:9" ht="27.95" customHeight="1" x14ac:dyDescent="0.3">
      <c r="B126" s="211" t="s">
        <v>125</v>
      </c>
      <c r="C126" s="214"/>
      <c r="D126" s="2"/>
      <c r="E126" s="2"/>
      <c r="F126" s="2"/>
      <c r="G126" s="2"/>
      <c r="H126" s="2"/>
      <c r="I126" s="2"/>
    </row>
    <row r="127" spans="1:9" ht="24" customHeight="1" x14ac:dyDescent="0.3">
      <c r="B127" s="216" t="s">
        <v>358</v>
      </c>
      <c r="C127" s="233"/>
    </row>
    <row r="128" spans="1:9" x14ac:dyDescent="0.25">
      <c r="A128" s="93" t="s">
        <v>341</v>
      </c>
    </row>
    <row r="129" spans="1:1" x14ac:dyDescent="0.25">
      <c r="A129" s="93" t="s">
        <v>340</v>
      </c>
    </row>
  </sheetData>
  <sheetProtection sheet="1" objects="1" scenarios="1" formatCells="0" formatColumns="0" formatRows="0"/>
  <mergeCells count="44">
    <mergeCell ref="B20:C20"/>
    <mergeCell ref="B2:C2"/>
    <mergeCell ref="B3:C3"/>
    <mergeCell ref="B8:C8"/>
    <mergeCell ref="B10:C10"/>
    <mergeCell ref="B17:C17"/>
    <mergeCell ref="B60:C60"/>
    <mergeCell ref="B23:C23"/>
    <mergeCell ref="B25:C25"/>
    <mergeCell ref="B28:C28"/>
    <mergeCell ref="B30:C30"/>
    <mergeCell ref="B37:C37"/>
    <mergeCell ref="B40:C40"/>
    <mergeCell ref="B43:C43"/>
    <mergeCell ref="B45:C45"/>
    <mergeCell ref="B48:C48"/>
    <mergeCell ref="B50:C50"/>
    <mergeCell ref="B57:C57"/>
    <mergeCell ref="B88:C88"/>
    <mergeCell ref="B90:C90"/>
    <mergeCell ref="B97:C97"/>
    <mergeCell ref="B100:C100"/>
    <mergeCell ref="B63:C63"/>
    <mergeCell ref="B65:C65"/>
    <mergeCell ref="B68:C68"/>
    <mergeCell ref="B70:C70"/>
    <mergeCell ref="B77:C77"/>
    <mergeCell ref="B80:C80"/>
    <mergeCell ref="B123:C123"/>
    <mergeCell ref="B125:C125"/>
    <mergeCell ref="D7:I7"/>
    <mergeCell ref="D27:I27"/>
    <mergeCell ref="D47:I47"/>
    <mergeCell ref="D67:I67"/>
    <mergeCell ref="D87:I87"/>
    <mergeCell ref="D107:I107"/>
    <mergeCell ref="B103:C103"/>
    <mergeCell ref="B105:C105"/>
    <mergeCell ref="B108:C108"/>
    <mergeCell ref="B110:C110"/>
    <mergeCell ref="B117:C117"/>
    <mergeCell ref="B120:C120"/>
    <mergeCell ref="B83:C83"/>
    <mergeCell ref="B85:C85"/>
  </mergeCells>
  <dataValidations count="7">
    <dataValidation type="list" allowBlank="1" showInputMessage="1" showErrorMessage="1" sqref="C13 C16 C21 C24 C26 C33 C36 C41 C44 C46 C53 C56 C61 C64 C66 C73 C76 C81 C84 C86 C93 C96 C101 C104 C106 C113 C116 C121 C124 C126" xr:uid="{425E04E0-7E98-4282-A15F-1DFCC1EDE410}">
      <formula1>"Sim,Não"</formula1>
    </dataValidation>
    <dataValidation type="decimal" allowBlank="1" showInputMessage="1" showErrorMessage="1" errorTitle="Valor inválido" error="Digite uma nota entre 0 e 10 (ex: 5,5)" promptTitle="Reclame Aqui" prompt="Nota Reclame Aqui dos últimos 12 meses (0 a 10)." sqref="C27" xr:uid="{226F6143-ECCC-4E9E-AAF3-68FEA576A435}">
      <formula1>0</formula1>
      <formula2>10</formula2>
    </dataValidation>
    <dataValidation type="decimal" allowBlank="1" showInputMessage="1" showErrorMessage="1" errorTitle="Valor inválido" error="Digite uma nota entre 0 e 10 (ex: 5,5)" promptTitle="Reclame Aqui" prompt="Nota Reclame Aqui dos últimos 12 meses (0 a 10)." sqref="C47" xr:uid="{878C50CE-C38A-4025-A1A6-7F9C0A7AF5B6}">
      <formula1>0</formula1>
      <formula2>10</formula2>
    </dataValidation>
    <dataValidation type="decimal" allowBlank="1" showInputMessage="1" showErrorMessage="1" errorTitle="Valor inválido" error="Digite uma nota entre 0 e 10 (ex: 5,5)" promptTitle="Reclame Aqui" prompt="Nota Reclame Aqui dos últimos 12 meses (0 a 10)." sqref="C67" xr:uid="{DBC6F65F-A094-4D87-BEE2-631043901180}">
      <formula1>0</formula1>
      <formula2>10</formula2>
    </dataValidation>
    <dataValidation type="decimal" allowBlank="1" showInputMessage="1" showErrorMessage="1" errorTitle="Valor inválido" error="Digite uma nota entre 0 e 10 (ex: 5,5)" promptTitle="Reclame Aqui" prompt="Nota Reclame Aqui dos últimos 12 meses (0 a 10)." sqref="C87" xr:uid="{6B2BD5DA-EDB8-472C-BE51-443D0ABAE69A}">
      <formula1>0</formula1>
      <formula2>10</formula2>
    </dataValidation>
    <dataValidation type="decimal" allowBlank="1" showInputMessage="1" showErrorMessage="1" errorTitle="Valor inválido" error="Digite uma nota entre 0 e 10 (ex: 5,5)" promptTitle="Reclame Aqui" prompt="Nota Reclame Aqui dos últimos 12 meses (0 a 10)." sqref="C107" xr:uid="{B65982B9-5E2D-4A45-BB06-3269176EA503}">
      <formula1>0</formula1>
      <formula2>10</formula2>
    </dataValidation>
    <dataValidation type="decimal" allowBlank="1" showInputMessage="1" showErrorMessage="1" errorTitle="Valor inválido" error="Digite uma nota entre 0 e 10 (ex: 5,5)" promptTitle="Reclame Aqui" prompt="Nota Reclame Aqui dos últimos 12 meses (0 a 10)." sqref="C127" xr:uid="{EE32EB0B-E30F-426F-A63D-0AE1F164C6A9}">
      <formula1>0</formula1>
      <formula2>10</formula2>
    </dataValidation>
  </dataValidations>
  <hyperlinks>
    <hyperlink ref="B5" location="'🏠 Início'!A1" display="🏠 Voltar ao Início" xr:uid="{9FB11232-D141-408B-9F30-D86F264DF570}"/>
    <hyperlink ref="C5" location="'Form. Tecnológico'!A1" display="Próximo: ⚙️ PASSO 2 →" xr:uid="{5CA90FBE-BDB1-4F0C-A6AF-0DC63DB35FC0}"/>
    <hyperlink ref="E8" location="'Form. Empresa'!B47" tooltip="Ir para Empresa 2" display="2" xr:uid="{2B314370-FE4A-4E3C-950E-395D52FB6D1F}"/>
    <hyperlink ref="F8" location="'Form. Empresa'!B67" tooltip="Ir para Empresa 3" display="3" xr:uid="{15658D71-7F02-461A-8CCA-3B5E6A4804E2}"/>
    <hyperlink ref="G8" location="'Form. Empresa'!B87" tooltip="Ir para Empresa 4" display="4" xr:uid="{07D2DE26-C870-4A0C-8AF2-3BD3FB2BB5FB}"/>
    <hyperlink ref="H8" location="'Form. Empresa'!B107" tooltip="Ir para Empresa 5" display="5" xr:uid="{C1DDDC7D-AA4A-4B0A-8C16-60553E2DDAA4}"/>
    <hyperlink ref="I8" location="'Form. Empresa'!B127" tooltip="Ir para Empresa 6" display="6" xr:uid="{FEA319EF-C502-4ADE-8285-DA5E69492A14}"/>
    <hyperlink ref="D28" location="'Form. Empresa'!B27" tooltip="Ir para Empresa 1" display="1" xr:uid="{95472CB0-FD1F-495C-982C-976D258C688D}"/>
    <hyperlink ref="F28" location="'Form. Empresa'!B67" tooltip="Ir para Empresa 3" display="3" xr:uid="{1F7EA187-AB24-439C-9877-037F660E8038}"/>
    <hyperlink ref="G28" location="'Form. Empresa'!B87" tooltip="Ir para Empresa 4" display="4" xr:uid="{34313288-5FD8-4465-AFD7-7C390F9C503B}"/>
    <hyperlink ref="H28" location="'Form. Empresa'!B107" tooltip="Ir para Empresa 5" display="5" xr:uid="{534DBFC0-300A-4B13-982D-AB6814B5AA9F}"/>
    <hyperlink ref="I28" location="'Form. Empresa'!B127" tooltip="Ir para Empresa 6" display="6" xr:uid="{CFCAFB57-F131-42A2-A5A7-4FE4D346E162}"/>
    <hyperlink ref="D48" location="'Form. Empresa'!B27" tooltip="Ir para Empresa 1" display="1" xr:uid="{9973E9B2-3731-45E0-AFA9-EDA9EA8196F1}"/>
    <hyperlink ref="E48" location="'Form. Empresa'!B47" tooltip="Ir para Empresa 2" display="2" xr:uid="{8C12A269-FCCC-4294-9BBA-DBF8A88084E0}"/>
    <hyperlink ref="G48" location="'Form. Empresa'!B87" tooltip="Ir para Empresa 4" display="4" xr:uid="{96D9430B-F29B-4F83-8432-4CBEE89200E4}"/>
    <hyperlink ref="H48" location="'Form. Empresa'!B107" tooltip="Ir para Empresa 5" display="5" xr:uid="{A852A3C5-63E4-44A0-A8C9-32D0EFB3FC07}"/>
    <hyperlink ref="I48" location="'Form. Empresa'!B127" tooltip="Ir para Empresa 6" display="6" xr:uid="{7833B351-28A0-4832-B6EC-A86C3D82E648}"/>
    <hyperlink ref="D68" location="'Form. Empresa'!B27" tooltip="Ir para Empresa 1" display="1" xr:uid="{F31DC104-24A8-4A3F-B733-09A53DCC6A40}"/>
    <hyperlink ref="E68" location="'Form. Empresa'!B47" tooltip="Ir para Empresa 2" display="2" xr:uid="{D68342FA-E2A1-4BAE-AC85-F3017F6331CF}"/>
    <hyperlink ref="F68" location="'Form. Empresa'!B67" tooltip="Ir para Empresa 3" display="3" xr:uid="{46ED1A14-5ECA-40D1-BC1A-27C548497F8A}"/>
    <hyperlink ref="H68" location="'Form. Empresa'!B107" tooltip="Ir para Empresa 5" display="5" xr:uid="{F292870C-422D-4F58-9C03-CE841F03A3B2}"/>
    <hyperlink ref="I68" location="'Form. Empresa'!B127" tooltip="Ir para Empresa 6" display="6" xr:uid="{B03FDE51-608D-47A8-BAD4-3C81CFA18380}"/>
    <hyperlink ref="D88" location="'Form. Empresa'!B27" tooltip="Ir para Empresa 1" display="1" xr:uid="{06B35EAA-6257-4374-A646-4D8B6239273E}"/>
    <hyperlink ref="E88" location="'Form. Empresa'!B47" tooltip="Ir para Empresa 2" display="2" xr:uid="{8BD0E21D-B839-45F9-AAF8-2046D1DB7EAF}"/>
    <hyperlink ref="F88" location="'Form. Empresa'!B67" tooltip="Ir para Empresa 3" display="3" xr:uid="{9DF4E82B-C4B6-4A67-89BE-AD4CC70608DB}"/>
    <hyperlink ref="G88" location="'Form. Empresa'!B87" tooltip="Ir para Empresa 4" display="4" xr:uid="{C2C4385D-10C1-45F0-BA86-FA3C1449E518}"/>
    <hyperlink ref="I88" location="'Form. Empresa'!B127" tooltip="Ir para Empresa 6" display="6" xr:uid="{5DE1771A-05EC-4364-887A-819DD9EC69E8}"/>
    <hyperlink ref="D108" location="'Form. Empresa'!B27" tooltip="Ir para Empresa 1" display="1" xr:uid="{DC0976D1-79E9-4F6F-9EAA-AEAA0BE57F80}"/>
    <hyperlink ref="E108" location="'Form. Empresa'!B47" tooltip="Ir para Empresa 2" display="2" xr:uid="{96603257-0D52-4D31-A8B3-2531D23EBA87}"/>
    <hyperlink ref="F108" location="'Form. Empresa'!B67" tooltip="Ir para Empresa 3" display="3" xr:uid="{1579E41C-C4FA-4BD3-9E8F-081880A0C70E}"/>
    <hyperlink ref="G108" location="'Form. Empresa'!B87" tooltip="Ir para Empresa 4" display="4" xr:uid="{194E085E-B96C-4678-B19D-7F8EFE2D6992}"/>
    <hyperlink ref="H108" location="'Form. Empresa'!B107" tooltip="Ir para Empresa 5" display="5" xr:uid="{4DF6435A-38CE-422F-B401-A91FAF66AE13}"/>
  </hyperlinks>
  <pageMargins left="0.511811024" right="0.511811024" top="0.78740157499999996" bottom="0.78740157499999996" header="0.31496062000000002" footer="0.31496062000000002"/>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3">
    <tabColor rgb="FF2E5FA3"/>
  </sheetPr>
  <dimension ref="A1:N29"/>
  <sheetViews>
    <sheetView tabSelected="1" zoomScale="83" zoomScaleNormal="83" workbookViewId="0">
      <pane xSplit="1" topLeftCell="B1" activePane="topRight" state="frozen"/>
      <selection pane="topRight" activeCell="N7" sqref="N7:N23"/>
    </sheetView>
  </sheetViews>
  <sheetFormatPr defaultColWidth="8.7109375" defaultRowHeight="15" x14ac:dyDescent="0.25"/>
  <cols>
    <col min="1" max="1" width="62.140625" style="1" customWidth="1"/>
    <col min="2" max="2" width="18.140625" customWidth="1"/>
    <col min="3" max="3" width="8.5703125" customWidth="1"/>
    <col min="4" max="4" width="18.140625" customWidth="1"/>
    <col min="5" max="5" width="8.5703125" customWidth="1"/>
    <col min="6" max="6" width="18.140625" customWidth="1"/>
    <col min="7" max="7" width="8.5703125" customWidth="1"/>
    <col min="8" max="8" width="18.140625" customWidth="1"/>
    <col min="9" max="9" width="8.5703125" customWidth="1"/>
    <col min="10" max="10" width="18.140625" customWidth="1"/>
    <col min="11" max="11" width="8.5703125" customWidth="1"/>
    <col min="12" max="12" width="18.140625" customWidth="1"/>
    <col min="13" max="13" width="8.5703125" customWidth="1"/>
    <col min="14" max="14" width="15.28515625" customWidth="1"/>
  </cols>
  <sheetData>
    <row r="1" spans="1:14" ht="26.1" customHeight="1" thickBot="1" x14ac:dyDescent="0.35">
      <c r="A1" s="134" t="s">
        <v>198</v>
      </c>
      <c r="B1" s="134"/>
      <c r="C1" s="134"/>
      <c r="D1" s="134"/>
      <c r="E1" s="134"/>
      <c r="F1" s="134"/>
      <c r="G1" s="134"/>
      <c r="H1" s="134"/>
      <c r="I1" s="134"/>
      <c r="J1" s="134"/>
      <c r="K1" s="134"/>
      <c r="L1" s="134"/>
      <c r="M1" s="134"/>
      <c r="N1" s="2"/>
    </row>
    <row r="2" spans="1:14" ht="30" customHeight="1" thickBot="1" x14ac:dyDescent="0.35">
      <c r="A2" s="135" t="s">
        <v>199</v>
      </c>
      <c r="B2" s="136"/>
      <c r="C2" s="136"/>
      <c r="D2" s="136"/>
      <c r="E2" s="137" t="s">
        <v>200</v>
      </c>
      <c r="F2" s="138"/>
      <c r="G2" s="138"/>
      <c r="H2" s="138"/>
      <c r="I2" s="139" t="s">
        <v>201</v>
      </c>
      <c r="J2" s="138"/>
      <c r="K2" s="138"/>
      <c r="L2" s="138"/>
      <c r="M2" s="138"/>
      <c r="N2" s="2"/>
    </row>
    <row r="3" spans="1:14" ht="8.1" customHeight="1" thickBot="1" x14ac:dyDescent="0.35">
      <c r="A3" s="13"/>
      <c r="B3" s="2"/>
      <c r="C3" s="2"/>
      <c r="D3" s="2"/>
      <c r="E3" s="2"/>
      <c r="F3" s="2"/>
      <c r="G3" s="2"/>
      <c r="H3" s="2"/>
      <c r="I3" s="2"/>
      <c r="J3" s="2"/>
      <c r="K3" s="2"/>
      <c r="L3" s="2"/>
      <c r="M3" s="2"/>
      <c r="N3" s="2"/>
    </row>
    <row r="4" spans="1:14" ht="21.95" customHeight="1" thickBot="1" x14ac:dyDescent="0.35">
      <c r="A4" s="140" t="s">
        <v>338</v>
      </c>
      <c r="B4" s="141"/>
      <c r="C4" s="141"/>
      <c r="D4" s="141"/>
      <c r="E4" s="141"/>
      <c r="F4" s="141"/>
      <c r="G4" s="141"/>
      <c r="H4" s="141"/>
      <c r="I4" s="141"/>
      <c r="J4" s="141"/>
      <c r="K4" s="141"/>
      <c r="L4" s="141"/>
      <c r="M4" s="142"/>
      <c r="N4" s="2"/>
    </row>
    <row r="5" spans="1:14" ht="26.1" customHeight="1" x14ac:dyDescent="0.25">
      <c r="A5" s="14" t="s">
        <v>0</v>
      </c>
      <c r="B5" s="15" t="str">
        <f>IF('Form. Empresa'!C9="","1",'Form. Empresa'!C9)</f>
        <v>RENOVA</v>
      </c>
      <c r="C5" s="15" t="s">
        <v>1</v>
      </c>
      <c r="D5" s="15" t="str">
        <f>IF('Form. Empresa'!C29="","2",'Form. Empresa'!C29)</f>
        <v>SOLI SOLAR</v>
      </c>
      <c r="E5" s="15" t="s">
        <v>1</v>
      </c>
      <c r="F5" s="15" t="str">
        <f>IF('Form. Empresa'!C49="","3",'Form. Empresa'!C49)</f>
        <v>ENERGIA SGE</v>
      </c>
      <c r="G5" s="15" t="s">
        <v>1</v>
      </c>
      <c r="H5" s="15" t="str">
        <f>IF('Form. Empresa'!C69="","4",'Form. Empresa'!C69)</f>
        <v>TAP SOLAR</v>
      </c>
      <c r="I5" s="15" t="s">
        <v>1</v>
      </c>
      <c r="J5" s="15" t="str">
        <f>IF('Form. Empresa'!C89="","5",'Form. Empresa'!C89)</f>
        <v>FOTOVOLTA EXPRESS</v>
      </c>
      <c r="K5" s="15" t="s">
        <v>1</v>
      </c>
      <c r="L5" s="15" t="str">
        <f>IF('Form. Empresa'!C109="","6",'Form. Empresa'!C109)</f>
        <v>SELF SOLAR</v>
      </c>
      <c r="M5" s="16" t="s">
        <v>1</v>
      </c>
      <c r="N5" s="17" t="s">
        <v>212</v>
      </c>
    </row>
    <row r="6" spans="1:14" ht="26.1" customHeight="1" x14ac:dyDescent="0.3">
      <c r="A6" s="131" t="s">
        <v>2</v>
      </c>
      <c r="B6" s="143"/>
      <c r="C6" s="143"/>
      <c r="D6" s="143"/>
      <c r="E6" s="143"/>
      <c r="F6" s="143"/>
      <c r="G6" s="143"/>
      <c r="H6" s="143"/>
      <c r="I6" s="143"/>
      <c r="J6" s="143"/>
      <c r="K6" s="143"/>
      <c r="L6" s="143"/>
      <c r="M6" s="144"/>
      <c r="N6" s="2"/>
    </row>
    <row r="7" spans="1:14" ht="24" customHeight="1" x14ac:dyDescent="0.25">
      <c r="A7" s="18" t="s">
        <v>3</v>
      </c>
      <c r="B7" s="19">
        <f>IF('Form. Empresa'!C11="","",'Form. Empresa'!C11)</f>
        <v>2021</v>
      </c>
      <c r="C7" s="20">
        <v>7</v>
      </c>
      <c r="D7" s="19" t="str">
        <f>IF('Form. Empresa'!C31="","",'Form. Empresa'!C31)</f>
        <v/>
      </c>
      <c r="E7" s="20">
        <v>8</v>
      </c>
      <c r="F7" s="19" t="str">
        <f>IF('Form. Empresa'!C51="","",'Form. Empresa'!C51)</f>
        <v/>
      </c>
      <c r="G7" s="20">
        <v>3</v>
      </c>
      <c r="H7" s="19" t="str">
        <f>IF('Form. Empresa'!C71="","",'Form. Empresa'!C71)</f>
        <v/>
      </c>
      <c r="I7" s="20">
        <v>4</v>
      </c>
      <c r="J7" s="19" t="str">
        <f>IF('Form. Empresa'!C91="","",'Form. Empresa'!C91)</f>
        <v/>
      </c>
      <c r="K7" s="20">
        <v>5</v>
      </c>
      <c r="L7" s="19" t="str">
        <f>IF('Form. Empresa'!C111="","",'Form. Empresa'!C111)</f>
        <v/>
      </c>
      <c r="M7" s="21">
        <v>3</v>
      </c>
      <c r="N7" s="22" t="s">
        <v>6</v>
      </c>
    </row>
    <row r="8" spans="1:14" ht="24" customHeight="1" x14ac:dyDescent="0.25">
      <c r="A8" s="18" t="s">
        <v>4</v>
      </c>
      <c r="B8" s="19">
        <f>IF('Form. Empresa'!C12="","",'Form. Empresa'!C12)</f>
        <v>2020</v>
      </c>
      <c r="C8" s="20">
        <v>4</v>
      </c>
      <c r="D8" s="19" t="str">
        <f>IF('Form. Empresa'!C32="","",'Form. Empresa'!C32)</f>
        <v/>
      </c>
      <c r="E8" s="20">
        <v>9</v>
      </c>
      <c r="F8" s="19" t="str">
        <f>IF('Form. Empresa'!C52="","",'Form. Empresa'!C52)</f>
        <v/>
      </c>
      <c r="G8" s="20">
        <v>4</v>
      </c>
      <c r="H8" s="19" t="str">
        <f>IF('Form. Empresa'!C72="","",'Form. Empresa'!C72)</f>
        <v/>
      </c>
      <c r="I8" s="20">
        <v>5</v>
      </c>
      <c r="J8" s="19" t="str">
        <f>IF('Form. Empresa'!C92="","",'Form. Empresa'!C92)</f>
        <v/>
      </c>
      <c r="K8" s="20">
        <v>6</v>
      </c>
      <c r="L8" s="19" t="str">
        <f>IF('Form. Empresa'!C112="","",'Form. Empresa'!C112)</f>
        <v/>
      </c>
      <c r="M8" s="21">
        <v>3</v>
      </c>
      <c r="N8" s="22" t="s">
        <v>6</v>
      </c>
    </row>
    <row r="9" spans="1:14" ht="24" customHeight="1" x14ac:dyDescent="0.25">
      <c r="A9" s="18" t="s">
        <v>5</v>
      </c>
      <c r="B9" s="19" t="str">
        <f>IF('Form. Empresa'!C13="","",'Form. Empresa'!C13)</f>
        <v>Sim</v>
      </c>
      <c r="C9" s="20">
        <v>10</v>
      </c>
      <c r="D9" s="19" t="str">
        <f>IF('Form. Empresa'!C33="","",'Form. Empresa'!C33)</f>
        <v/>
      </c>
      <c r="E9" s="20">
        <v>8</v>
      </c>
      <c r="F9" s="19" t="str">
        <f>IF('Form. Empresa'!C53="","",'Form. Empresa'!C53)</f>
        <v/>
      </c>
      <c r="G9" s="20">
        <v>1</v>
      </c>
      <c r="H9" s="19" t="str">
        <f>IF('Form. Empresa'!C73="","",'Form. Empresa'!C73)</f>
        <v/>
      </c>
      <c r="I9" s="20">
        <v>3</v>
      </c>
      <c r="J9" s="19" t="str">
        <f>IF('Form. Empresa'!C93="","",'Form. Empresa'!C93)</f>
        <v/>
      </c>
      <c r="K9" s="20">
        <v>5</v>
      </c>
      <c r="L9" s="19" t="str">
        <f>IF('Form. Empresa'!C113="","",'Form. Empresa'!C113)</f>
        <v/>
      </c>
      <c r="M9" s="21">
        <v>3</v>
      </c>
      <c r="N9" s="22" t="s">
        <v>6</v>
      </c>
    </row>
    <row r="10" spans="1:14" ht="24" customHeight="1" x14ac:dyDescent="0.25">
      <c r="A10" s="18" t="s">
        <v>7</v>
      </c>
      <c r="B10" s="19">
        <f>IF('Form. Empresa'!C14="","",'Form. Empresa'!C14)</f>
        <v>2004</v>
      </c>
      <c r="C10" s="20">
        <v>9</v>
      </c>
      <c r="D10" s="19" t="str">
        <f>IF('Form. Empresa'!C34="","",'Form. Empresa'!C34)</f>
        <v/>
      </c>
      <c r="E10" s="20">
        <v>7</v>
      </c>
      <c r="F10" s="19" t="str">
        <f>IF('Form. Empresa'!C54="","",'Form. Empresa'!C54)</f>
        <v/>
      </c>
      <c r="G10" s="20">
        <v>1</v>
      </c>
      <c r="H10" s="19" t="str">
        <f>IF('Form. Empresa'!C74="","",'Form. Empresa'!C74)</f>
        <v/>
      </c>
      <c r="I10" s="20">
        <v>3</v>
      </c>
      <c r="J10" s="19" t="str">
        <f>IF('Form. Empresa'!C94="","",'Form. Empresa'!C94)</f>
        <v/>
      </c>
      <c r="K10" s="20">
        <v>7</v>
      </c>
      <c r="L10" s="19" t="str">
        <f>IF('Form. Empresa'!C114="","",'Form. Empresa'!C114)</f>
        <v/>
      </c>
      <c r="M10" s="21">
        <v>3</v>
      </c>
      <c r="N10" s="22" t="s">
        <v>6</v>
      </c>
    </row>
    <row r="11" spans="1:14" ht="24" customHeight="1" x14ac:dyDescent="0.25">
      <c r="A11" s="18" t="s">
        <v>8</v>
      </c>
      <c r="B11" s="19" t="str">
        <f>IF('Form. Empresa'!C15="","",'Form. Empresa'!C15)</f>
        <v>+ de 100</v>
      </c>
      <c r="C11" s="20">
        <v>8</v>
      </c>
      <c r="D11" s="19" t="str">
        <f>IF('Form. Empresa'!C35="","",'Form. Empresa'!C35)</f>
        <v/>
      </c>
      <c r="E11" s="20">
        <v>8</v>
      </c>
      <c r="F11" s="19" t="str">
        <f>IF('Form. Empresa'!C55="","",'Form. Empresa'!C55)</f>
        <v/>
      </c>
      <c r="G11" s="20">
        <v>1</v>
      </c>
      <c r="H11" s="19" t="str">
        <f>IF('Form. Empresa'!C75="","",'Form. Empresa'!C75)</f>
        <v/>
      </c>
      <c r="I11" s="20">
        <v>4</v>
      </c>
      <c r="J11" s="19" t="str">
        <f>IF('Form. Empresa'!C95="","",'Form. Empresa'!C95)</f>
        <v/>
      </c>
      <c r="K11" s="20">
        <v>7</v>
      </c>
      <c r="L11" s="19" t="str">
        <f>IF('Form. Empresa'!C115="","",'Form. Empresa'!C115)</f>
        <v/>
      </c>
      <c r="M11" s="21">
        <v>3</v>
      </c>
      <c r="N11" s="22" t="s">
        <v>6</v>
      </c>
    </row>
    <row r="12" spans="1:14" ht="24" customHeight="1" x14ac:dyDescent="0.25">
      <c r="A12" s="18" t="s">
        <v>9</v>
      </c>
      <c r="B12" s="19" t="str">
        <f>IF('Form. Empresa'!C16="","",'Form. Empresa'!C16)</f>
        <v>Não</v>
      </c>
      <c r="C12" s="20">
        <v>5</v>
      </c>
      <c r="D12" s="19" t="str">
        <f>IF('Form. Empresa'!C36="","",'Form. Empresa'!C36)</f>
        <v/>
      </c>
      <c r="E12" s="20">
        <v>8</v>
      </c>
      <c r="F12" s="19" t="str">
        <f>IF('Form. Empresa'!C56="","",'Form. Empresa'!C56)</f>
        <v/>
      </c>
      <c r="G12" s="20">
        <v>4</v>
      </c>
      <c r="H12" s="19" t="str">
        <f>IF('Form. Empresa'!C76="","",'Form. Empresa'!C76)</f>
        <v/>
      </c>
      <c r="I12" s="20">
        <v>4</v>
      </c>
      <c r="J12" s="19" t="str">
        <f>IF('Form. Empresa'!C96="","",'Form. Empresa'!C96)</f>
        <v/>
      </c>
      <c r="K12" s="20">
        <v>7</v>
      </c>
      <c r="L12" s="19" t="str">
        <f>IF('Form. Empresa'!C116="","",'Form. Empresa'!C116)</f>
        <v/>
      </c>
      <c r="M12" s="21">
        <v>3</v>
      </c>
      <c r="N12" s="22" t="s">
        <v>6</v>
      </c>
    </row>
    <row r="13" spans="1:14" ht="26.1" customHeight="1" x14ac:dyDescent="0.3">
      <c r="A13" s="131" t="s">
        <v>11</v>
      </c>
      <c r="B13" s="132"/>
      <c r="C13" s="132"/>
      <c r="D13" s="132"/>
      <c r="E13" s="132"/>
      <c r="F13" s="132"/>
      <c r="G13" s="132"/>
      <c r="H13" s="132"/>
      <c r="I13" s="132"/>
      <c r="J13" s="132"/>
      <c r="K13" s="132"/>
      <c r="L13" s="132"/>
      <c r="M13" s="133"/>
      <c r="N13" s="2"/>
    </row>
    <row r="14" spans="1:14" ht="24" customHeight="1" x14ac:dyDescent="0.25">
      <c r="A14" s="18" t="s">
        <v>12</v>
      </c>
      <c r="B14" s="19" t="str">
        <f>IF('Form. Empresa'!C18="","",'Form. Empresa'!C18)</f>
        <v>60 dias</v>
      </c>
      <c r="C14" s="20">
        <v>4</v>
      </c>
      <c r="D14" s="19" t="str">
        <f>IF('Form. Empresa'!C38="","",'Form. Empresa'!C38)</f>
        <v/>
      </c>
      <c r="E14" s="20">
        <v>7</v>
      </c>
      <c r="F14" s="19" t="str">
        <f>IF('Form. Empresa'!C58="","",'Form. Empresa'!C58)</f>
        <v/>
      </c>
      <c r="G14" s="20">
        <v>3</v>
      </c>
      <c r="H14" s="19" t="str">
        <f>IF('Form. Empresa'!C78="","",'Form. Empresa'!C78)</f>
        <v/>
      </c>
      <c r="I14" s="20">
        <v>3</v>
      </c>
      <c r="J14" s="19" t="str">
        <f>IF('Form. Empresa'!C98="","",'Form. Empresa'!C98)</f>
        <v/>
      </c>
      <c r="K14" s="20">
        <v>7</v>
      </c>
      <c r="L14" s="19" t="str">
        <f>IF('Form. Empresa'!C118="","",'Form. Empresa'!C118)</f>
        <v/>
      </c>
      <c r="M14" s="21">
        <v>3</v>
      </c>
      <c r="N14" s="22" t="s">
        <v>6</v>
      </c>
    </row>
    <row r="15" spans="1:14" ht="24" customHeight="1" x14ac:dyDescent="0.25">
      <c r="A15" s="18" t="s">
        <v>14</v>
      </c>
      <c r="B15" s="19" t="str">
        <f>IF('Form. Empresa'!C19="","",'Form. Empresa'!C19)</f>
        <v>3 anos</v>
      </c>
      <c r="C15" s="20">
        <v>6</v>
      </c>
      <c r="D15" s="19" t="str">
        <f>IF('Form. Empresa'!C39="","",'Form. Empresa'!C39)</f>
        <v/>
      </c>
      <c r="E15" s="20">
        <v>8</v>
      </c>
      <c r="F15" s="19" t="str">
        <f>IF('Form. Empresa'!C59="","",'Form. Empresa'!C59)</f>
        <v/>
      </c>
      <c r="G15" s="20">
        <v>2</v>
      </c>
      <c r="H15" s="19" t="str">
        <f>IF('Form. Empresa'!C79="","",'Form. Empresa'!C79)</f>
        <v/>
      </c>
      <c r="I15" s="20">
        <v>4</v>
      </c>
      <c r="J15" s="19" t="str">
        <f>IF('Form. Empresa'!C99="","",'Form. Empresa'!C99)</f>
        <v/>
      </c>
      <c r="K15" s="20">
        <v>5</v>
      </c>
      <c r="L15" s="19" t="str">
        <f>IF('Form. Empresa'!C119="","",'Form. Empresa'!C119)</f>
        <v/>
      </c>
      <c r="M15" s="21">
        <v>3</v>
      </c>
      <c r="N15" s="22" t="s">
        <v>6</v>
      </c>
    </row>
    <row r="16" spans="1:14" ht="26.1" customHeight="1" x14ac:dyDescent="0.3">
      <c r="A16" s="131" t="s">
        <v>16</v>
      </c>
      <c r="B16" s="132"/>
      <c r="C16" s="132"/>
      <c r="D16" s="132"/>
      <c r="E16" s="132"/>
      <c r="F16" s="132"/>
      <c r="G16" s="132"/>
      <c r="H16" s="132"/>
      <c r="I16" s="132"/>
      <c r="J16" s="132"/>
      <c r="K16" s="132"/>
      <c r="L16" s="132"/>
      <c r="M16" s="133"/>
      <c r="N16" s="2"/>
    </row>
    <row r="17" spans="1:14" ht="24" customHeight="1" x14ac:dyDescent="0.25">
      <c r="A17" s="18" t="s">
        <v>17</v>
      </c>
      <c r="B17" s="19" t="str">
        <f>IF('Form. Empresa'!C21="","",'Form. Empresa'!C21)</f>
        <v>Sim</v>
      </c>
      <c r="C17" s="20">
        <v>5</v>
      </c>
      <c r="D17" s="19" t="str">
        <f>IF('Form. Empresa'!C41="","",'Form. Empresa'!C41)</f>
        <v/>
      </c>
      <c r="E17" s="20">
        <v>7</v>
      </c>
      <c r="F17" s="19" t="str">
        <f>IF('Form. Empresa'!C61="","",'Form. Empresa'!C61)</f>
        <v/>
      </c>
      <c r="G17" s="20">
        <v>1</v>
      </c>
      <c r="H17" s="19" t="str">
        <f>IF('Form. Empresa'!C81="","",'Form. Empresa'!C81)</f>
        <v/>
      </c>
      <c r="I17" s="20">
        <v>4</v>
      </c>
      <c r="J17" s="19" t="str">
        <f>IF('Form. Empresa'!C101="","",'Form. Empresa'!C101)</f>
        <v/>
      </c>
      <c r="K17" s="20">
        <v>7</v>
      </c>
      <c r="L17" s="19" t="str">
        <f>IF('Form. Empresa'!C121="","",'Form. Empresa'!C121)</f>
        <v/>
      </c>
      <c r="M17" s="21">
        <v>3</v>
      </c>
      <c r="N17" s="22" t="s">
        <v>6</v>
      </c>
    </row>
    <row r="18" spans="1:14" ht="24" customHeight="1" x14ac:dyDescent="0.25">
      <c r="A18" s="18" t="s">
        <v>18</v>
      </c>
      <c r="B18" s="19" t="str">
        <f>IF('Form. Empresa'!C22="","",'Form. Empresa'!C22)</f>
        <v>6 dias</v>
      </c>
      <c r="C18" s="20">
        <v>7</v>
      </c>
      <c r="D18" s="19" t="str">
        <f>IF('Form. Empresa'!C42="","",'Form. Empresa'!C42)</f>
        <v/>
      </c>
      <c r="E18" s="20">
        <v>7</v>
      </c>
      <c r="F18" s="19" t="str">
        <f>IF('Form. Empresa'!C62="","",'Form. Empresa'!C62)</f>
        <v/>
      </c>
      <c r="G18" s="20">
        <v>1</v>
      </c>
      <c r="H18" s="19" t="str">
        <f>IF('Form. Empresa'!C82="","",'Form. Empresa'!C82)</f>
        <v/>
      </c>
      <c r="I18" s="20">
        <v>3</v>
      </c>
      <c r="J18" s="19" t="str">
        <f>IF('Form. Empresa'!C102="","",'Form. Empresa'!C102)</f>
        <v/>
      </c>
      <c r="K18" s="20">
        <v>5</v>
      </c>
      <c r="L18" s="19" t="str">
        <f>IF('Form. Empresa'!C122="","",'Form. Empresa'!C122)</f>
        <v/>
      </c>
      <c r="M18" s="21">
        <v>4</v>
      </c>
      <c r="N18" s="22" t="s">
        <v>6</v>
      </c>
    </row>
    <row r="19" spans="1:14" ht="26.1" customHeight="1" x14ac:dyDescent="0.3">
      <c r="A19" s="131" t="s">
        <v>20</v>
      </c>
      <c r="B19" s="132"/>
      <c r="C19" s="132"/>
      <c r="D19" s="132"/>
      <c r="E19" s="132"/>
      <c r="F19" s="132"/>
      <c r="G19" s="132"/>
      <c r="H19" s="132"/>
      <c r="I19" s="132"/>
      <c r="J19" s="132"/>
      <c r="K19" s="132"/>
      <c r="L19" s="132"/>
      <c r="M19" s="133"/>
      <c r="N19" s="2"/>
    </row>
    <row r="20" spans="1:14" ht="24" customHeight="1" x14ac:dyDescent="0.25">
      <c r="A20" s="18" t="s">
        <v>21</v>
      </c>
      <c r="B20" s="19" t="str">
        <f>IF('Form. Empresa'!C24="","",'Form. Empresa'!C24)</f>
        <v>Sim</v>
      </c>
      <c r="C20" s="20">
        <v>8</v>
      </c>
      <c r="D20" s="19" t="str">
        <f>IF('Form. Empresa'!C44="","",'Form. Empresa'!C44)</f>
        <v/>
      </c>
      <c r="E20" s="20">
        <v>7</v>
      </c>
      <c r="F20" s="19" t="str">
        <f>IF('Form. Empresa'!C64="","",'Form. Empresa'!C64)</f>
        <v/>
      </c>
      <c r="G20" s="20">
        <v>1</v>
      </c>
      <c r="H20" s="19" t="str">
        <f>IF('Form. Empresa'!C84="","",'Form. Empresa'!C84)</f>
        <v/>
      </c>
      <c r="I20" s="20">
        <v>4</v>
      </c>
      <c r="J20" s="19" t="str">
        <f>IF('Form. Empresa'!C104="","",'Form. Empresa'!C104)</f>
        <v/>
      </c>
      <c r="K20" s="20">
        <v>5</v>
      </c>
      <c r="L20" s="19" t="str">
        <f>IF('Form. Empresa'!C124="","",'Form. Empresa'!C124)</f>
        <v/>
      </c>
      <c r="M20" s="21">
        <v>5</v>
      </c>
      <c r="N20" s="22" t="s">
        <v>6</v>
      </c>
    </row>
    <row r="21" spans="1:14" ht="26.1" customHeight="1" x14ac:dyDescent="0.3">
      <c r="A21" s="131" t="s">
        <v>22</v>
      </c>
      <c r="B21" s="132"/>
      <c r="C21" s="132"/>
      <c r="D21" s="132"/>
      <c r="E21" s="132"/>
      <c r="F21" s="132"/>
      <c r="G21" s="132"/>
      <c r="H21" s="132"/>
      <c r="I21" s="132"/>
      <c r="J21" s="132"/>
      <c r="K21" s="132"/>
      <c r="L21" s="132"/>
      <c r="M21" s="133"/>
      <c r="N21" s="2"/>
    </row>
    <row r="22" spans="1:14" ht="24" customHeight="1" x14ac:dyDescent="0.25">
      <c r="A22" s="18" t="s">
        <v>23</v>
      </c>
      <c r="B22" s="19" t="str">
        <f>IF('Form. Empresa'!C26="","",'Form. Empresa'!C26)</f>
        <v>Sim</v>
      </c>
      <c r="C22" s="23">
        <v>8</v>
      </c>
      <c r="D22" s="19" t="str">
        <f>IF('Form. Empresa'!C46="","",'Form. Empresa'!C46)</f>
        <v/>
      </c>
      <c r="E22" s="23">
        <v>8</v>
      </c>
      <c r="F22" s="19" t="str">
        <f>IF('Form. Empresa'!C66="","",'Form. Empresa'!C66)</f>
        <v/>
      </c>
      <c r="G22" s="23">
        <v>4</v>
      </c>
      <c r="H22" s="19" t="str">
        <f>IF('Form. Empresa'!C86="","",'Form. Empresa'!C86)</f>
        <v/>
      </c>
      <c r="I22" s="23">
        <v>5</v>
      </c>
      <c r="J22" s="19" t="str">
        <f>IF('Form. Empresa'!C106="","",'Form. Empresa'!C106)</f>
        <v/>
      </c>
      <c r="K22" s="23">
        <v>6</v>
      </c>
      <c r="L22" s="19" t="str">
        <f>IF('Form. Empresa'!C126="","",'Form. Empresa'!C126)</f>
        <v/>
      </c>
      <c r="M22" s="24">
        <v>5</v>
      </c>
      <c r="N22" s="22" t="s">
        <v>6</v>
      </c>
    </row>
    <row r="23" spans="1:14" ht="24" customHeight="1" x14ac:dyDescent="0.25">
      <c r="A23" s="18" t="s">
        <v>344</v>
      </c>
      <c r="B23" s="19" t="str">
        <f>IF('Form. Empresa'!C27="","",'Form. Empresa'!C27)</f>
        <v/>
      </c>
      <c r="C23" s="23">
        <v>0</v>
      </c>
      <c r="D23" s="19" t="str">
        <f>IF('Form. Empresa'!C47="","",'Form. Empresa'!C47)</f>
        <v/>
      </c>
      <c r="E23" s="23">
        <v>0</v>
      </c>
      <c r="F23" s="19" t="str">
        <f>IF('Form. Empresa'!C67="","",'Form. Empresa'!C67)</f>
        <v/>
      </c>
      <c r="G23" s="23">
        <v>0</v>
      </c>
      <c r="H23" s="19" t="str">
        <f>IF('Form. Empresa'!C87="","",'Form. Empresa'!C87)</f>
        <v/>
      </c>
      <c r="I23" s="23">
        <v>0</v>
      </c>
      <c r="J23" s="19" t="str">
        <f>IF('Form. Empresa'!C107="","",'Form. Empresa'!C107)</f>
        <v/>
      </c>
      <c r="K23" s="23">
        <v>0</v>
      </c>
      <c r="L23" s="19" t="str">
        <f>IF('Form. Empresa'!C127="","",'Form. Empresa'!C127)</f>
        <v/>
      </c>
      <c r="M23" s="24">
        <v>0</v>
      </c>
      <c r="N23" s="22" t="s">
        <v>6</v>
      </c>
    </row>
    <row r="24" spans="1:14" ht="26.1" customHeight="1" thickBot="1" x14ac:dyDescent="0.35">
      <c r="A24" s="25" t="s">
        <v>24</v>
      </c>
      <c r="B24" s="26"/>
      <c r="C24" s="27">
        <f>IF($N7="Sim",IFERROR(N(C7),0),0)+IF($N8="Sim",IFERROR(N(C8),0),0)+IF($N9="Sim",IFERROR(N(C9),0),0)+IF($N10="Sim",IFERROR(N(C10),0),0)+IF($N11="Sim",IFERROR(N(C11),0),0)+IF($N12="Sim",IFERROR(N(C12),0),0)+IF($N14="Sim",IFERROR(N(C14),0),0)+IF($N15="Sim",IFERROR(N(C15),0),0)+IF($N17="Sim",IFERROR(N(C17),0),0)+IF($N18="Sim",IFERROR(N(C18),0),0)+IF($N20="Sim",IFERROR(N(C20),0),0)+IF($N22="Sim",IFERROR(N(C22),0),0)+IF($N23="Sim",IFERROR(N(C23),0),0)</f>
        <v>81</v>
      </c>
      <c r="D24" s="26"/>
      <c r="E24" s="27">
        <f>IF($N7="Sim",IFERROR(N(E7),0),0)+IF($N8="Sim",IFERROR(N(E8),0),0)+IF($N9="Sim",IFERROR(N(E9),0),0)+IF($N10="Sim",IFERROR(N(E10),0),0)+IF($N11="Sim",IFERROR(N(E11),0),0)+IF($N12="Sim",IFERROR(N(E12),0),0)+IF($N14="Sim",IFERROR(N(E14),0),0)+IF($N15="Sim",IFERROR(N(E15),0),0)+IF($N17="Sim",IFERROR(N(E17),0),0)+IF($N18="Sim",IFERROR(N(E18),0),0)+IF($N20="Sim",IFERROR(N(E20),0),0)+IF($N22="Sim",IFERROR(N(E22),0),0)+IF($N23="Sim",IFERROR(N(E23),0),0)</f>
        <v>92</v>
      </c>
      <c r="F24" s="26"/>
      <c r="G24" s="27">
        <f>IF($N7="Sim",IFERROR(N(G7),0),0)+IF($N8="Sim",IFERROR(N(G8),0),0)+IF($N9="Sim",IFERROR(N(G9),0),0)+IF($N10="Sim",IFERROR(N(G10),0),0)+IF($N11="Sim",IFERROR(N(G11),0),0)+IF($N12="Sim",IFERROR(N(G12),0),0)+IF($N14="Sim",IFERROR(N(G14),0),0)+IF($N15="Sim",IFERROR(N(G15),0),0)+IF($N17="Sim",IFERROR(N(G17),0),0)+IF($N18="Sim",IFERROR(N(G18),0),0)+IF($N20="Sim",IFERROR(N(G20),0),0)+IF($N22="Sim",IFERROR(N(G22),0),0)+IF($N23="Sim",IFERROR(N(G23),0),0)</f>
        <v>26</v>
      </c>
      <c r="H24" s="26"/>
      <c r="I24" s="27">
        <f>IF($N7="Sim",IFERROR(N(I7),0),0)+IF($N8="Sim",IFERROR(N(I8),0),0)+IF($N9="Sim",IFERROR(N(I9),0),0)+IF($N10="Sim",IFERROR(N(I10),0),0)+IF($N11="Sim",IFERROR(N(I11),0),0)+IF($N12="Sim",IFERROR(N(I12),0),0)+IF($N14="Sim",IFERROR(N(I14),0),0)+IF($N15="Sim",IFERROR(N(I15),0),0)+IF($N17="Sim",IFERROR(N(I17),0),0)+IF($N18="Sim",IFERROR(N(I18),0),0)+IF($N20="Sim",IFERROR(N(I20),0),0)+IF($N22="Sim",IFERROR(N(I22),0),0)+IF($N23="Sim",IFERROR(N(I23),0),0)</f>
        <v>46</v>
      </c>
      <c r="J24" s="26"/>
      <c r="K24" s="27">
        <f>IF($N7="Sim",IFERROR(N(K7),0),0)+IF($N8="Sim",IFERROR(N(K8),0),0)+IF($N9="Sim",IFERROR(N(K9),0),0)+IF($N10="Sim",IFERROR(N(K10),0),0)+IF($N11="Sim",IFERROR(N(K11),0),0)+IF($N12="Sim",IFERROR(N(K12),0),0)+IF($N14="Sim",IFERROR(N(K14),0),0)+IF($N15="Sim",IFERROR(N(K15),0),0)+IF($N17="Sim",IFERROR(N(K17),0),0)+IF($N18="Sim",IFERROR(N(K18),0),0)+IF($N20="Sim",IFERROR(N(K20),0),0)+IF($N22="Sim",IFERROR(N(K22),0),0)+IF($N23="Sim",IFERROR(N(K23),0),0)</f>
        <v>72</v>
      </c>
      <c r="L24" s="26"/>
      <c r="M24" s="28">
        <f>IF($N7="Sim",IFERROR(N(M7),0),0)+IF($N8="Sim",IFERROR(N(M8),0),0)+IF($N9="Sim",IFERROR(N(M9),0),0)+IF($N10="Sim",IFERROR(N(M10),0),0)+IF($N11="Sim",IFERROR(N(M11),0),0)+IF($N12="Sim",IFERROR(N(M12),0),0)+IF($N14="Sim",IFERROR(N(M14),0),0)+IF($N15="Sim",IFERROR(N(M15),0),0)+IF($N17="Sim",IFERROR(N(M17),0),0)+IF($N18="Sim",IFERROR(N(M18),0),0)+IF($N20="Sim",IFERROR(N(M20),0),0)+IF($N22="Sim",IFERROR(N(M22),0),0)+IF($N23="Sim",IFERROR(N(M23),0),0)</f>
        <v>41</v>
      </c>
      <c r="N24" s="2"/>
    </row>
    <row r="25" spans="1:14" ht="16.5" x14ac:dyDescent="0.3">
      <c r="A25" s="29" t="s">
        <v>213</v>
      </c>
      <c r="B25" s="2"/>
      <c r="C25" s="30">
        <f>COUNTIF($N$7:$N$23,"Sim")</f>
        <v>13</v>
      </c>
      <c r="D25" s="2"/>
      <c r="E25" s="30">
        <f>COUNTIF($N$7:$N$23,"Sim")</f>
        <v>13</v>
      </c>
      <c r="F25" s="2"/>
      <c r="G25" s="30">
        <f>COUNTIF($N$7:$N$23,"Sim")</f>
        <v>13</v>
      </c>
      <c r="H25" s="2"/>
      <c r="I25" s="30">
        <f>COUNTIF($N$7:$N$23,"Sim")</f>
        <v>13</v>
      </c>
      <c r="J25" s="2"/>
      <c r="K25" s="30">
        <f>COUNTIF($N$7:$N$23,"Sim")</f>
        <v>13</v>
      </c>
      <c r="L25" s="2"/>
      <c r="M25" s="30">
        <f>COUNTIF($N$7:$N$23,"Sim")</f>
        <v>13</v>
      </c>
      <c r="N25" s="2"/>
    </row>
    <row r="26" spans="1:14" ht="16.5" x14ac:dyDescent="0.3">
      <c r="A26" s="29" t="s">
        <v>214</v>
      </c>
      <c r="B26" s="2"/>
      <c r="C26" s="30">
        <f>COUNTIF($N$7:$N$23,"Sim")*10</f>
        <v>130</v>
      </c>
      <c r="D26" s="2"/>
      <c r="E26" s="30">
        <f>COUNTIF($N$7:$N$23,"Sim")*10</f>
        <v>130</v>
      </c>
      <c r="F26" s="2"/>
      <c r="G26" s="30">
        <f>COUNTIF($N$7:$N$23,"Sim")*10</f>
        <v>130</v>
      </c>
      <c r="H26" s="2"/>
      <c r="I26" s="30">
        <f>COUNTIF($N$7:$N$23,"Sim")*10</f>
        <v>130</v>
      </c>
      <c r="J26" s="2"/>
      <c r="K26" s="30">
        <f>COUNTIF($N$7:$N$23,"Sim")*10</f>
        <v>130</v>
      </c>
      <c r="L26" s="2"/>
      <c r="M26" s="30">
        <f>COUNTIF($N$7:$N$23,"Sim")*10</f>
        <v>130</v>
      </c>
      <c r="N26" s="2"/>
    </row>
    <row r="28" spans="1:14" x14ac:dyDescent="0.25">
      <c r="A28" s="94" t="s">
        <v>341</v>
      </c>
    </row>
    <row r="29" spans="1:14" ht="36.75" x14ac:dyDescent="0.25">
      <c r="A29" s="94" t="s">
        <v>340</v>
      </c>
    </row>
  </sheetData>
  <sheetProtection formatCells="0" formatColumns="0" formatRows="0"/>
  <mergeCells count="10">
    <mergeCell ref="A21:M21"/>
    <mergeCell ref="A1:M1"/>
    <mergeCell ref="A2:D2"/>
    <mergeCell ref="E2:H2"/>
    <mergeCell ref="I2:M2"/>
    <mergeCell ref="A4:M4"/>
    <mergeCell ref="A6:M6"/>
    <mergeCell ref="A13:M13"/>
    <mergeCell ref="A16:M16"/>
    <mergeCell ref="A19:M19"/>
  </mergeCells>
  <conditionalFormatting sqref="N7:N23">
    <cfRule type="cellIs" dxfId="3" priority="1" operator="equal">
      <formula>"Sim"</formula>
    </cfRule>
  </conditionalFormatting>
  <conditionalFormatting sqref="N7:N23">
    <cfRule type="cellIs" dxfId="2" priority="2" operator="equal">
      <formula>"Não"</formula>
    </cfRule>
  </conditionalFormatting>
  <dataValidations xWindow="857" yWindow="529" count="7">
    <dataValidation type="list" allowBlank="1" showInputMessage="1" showErrorMessage="1" errorTitle="Valor inválido" error="Selecione uma opção da lista." sqref="C6:C23" xr:uid="{AC1BB8DC-8108-4558-B9F6-A6F883BB7D62}">
      <formula1>"1,2,3,4,5,6,7,8,9,10"</formula1>
    </dataValidation>
    <dataValidation type="list" allowBlank="1" showInputMessage="1" showErrorMessage="1" errorTitle="Valor inválido" error="Selecione uma opção da lista." sqref="E6:E23" xr:uid="{7F1D1ED5-F92A-4CB7-A8CC-B81AD878709D}">
      <formula1>"1,2,3,4,5,6,7,8,9,10"</formula1>
    </dataValidation>
    <dataValidation type="list" allowBlank="1" showInputMessage="1" showErrorMessage="1" errorTitle="Valor inválido" error="Selecione uma opção da lista." sqref="G6:G23" xr:uid="{5740113C-B874-4AAD-B94C-184C225EE437}">
      <formula1>"1,2,3,4,5,6,7,8,9,10"</formula1>
    </dataValidation>
    <dataValidation type="list" allowBlank="1" showInputMessage="1" showErrorMessage="1" errorTitle="Valor inválido" error="Selecione uma opção da lista." sqref="I6:I23" xr:uid="{B692AE19-D578-4550-9980-6D56BE90C69F}">
      <formula1>"1,2,3,4,5,6,7,8,9,10"</formula1>
    </dataValidation>
    <dataValidation type="list" allowBlank="1" showInputMessage="1" showErrorMessage="1" errorTitle="Valor inválido" error="Selecione uma opção da lista." sqref="K6:K23" xr:uid="{C28B6407-BDEE-40B7-A726-702B34AD107A}">
      <formula1>"1,2,3,4,5,6,7,8,9,10"</formula1>
    </dataValidation>
    <dataValidation type="list" allowBlank="1" showInputMessage="1" showErrorMessage="1" errorTitle="Valor inválido" error="Selecione uma opção da lista." sqref="M6:M23" xr:uid="{6048DC6D-C0AE-4F98-8C3E-2A996EFC3207}">
      <formula1>"1,2,3,4,5,6,7,8,9,10"</formula1>
    </dataValidation>
    <dataValidation type="list" allowBlank="1" showInputMessage="1" showErrorMessage="1" errorTitle="Valor inválido" error="Selecione uma opção da lista." sqref="N6:N23" xr:uid="{98409B58-B69D-486F-BD1A-38E8B799E9E0}">
      <formula1>"Sim,Não"</formula1>
    </dataValidation>
  </dataValidations>
  <hyperlinks>
    <hyperlink ref="A2" location="'Form. Empresa'!A1" display="← Voltar ao Form. Empresa" xr:uid="{DE507148-8F20-4F2D-8869-358695421805}"/>
    <hyperlink ref="E2" location="'🏠 Início'!A1" display="🏠 Início" xr:uid="{39952B20-1389-47B7-9CB3-C981E135ABC0}"/>
    <hyperlink ref="I2" location="'Form. Tecnológico'!A1" display="Próximo: Form. Tecnológico →" xr:uid="{AC05BD9D-6E8B-44D1-84EF-F2B583A0264D}"/>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0489D-8E03-43D3-AB8C-20803AC03836}">
  <sheetPr codeName="Planilha4">
    <tabColor rgb="FF2E5FA3"/>
  </sheetPr>
  <dimension ref="A1:I213"/>
  <sheetViews>
    <sheetView topLeftCell="A64" workbookViewId="0">
      <selection activeCell="C142" sqref="C142"/>
    </sheetView>
  </sheetViews>
  <sheetFormatPr defaultRowHeight="15" x14ac:dyDescent="0.25"/>
  <cols>
    <col min="1" max="1" width="5.7109375" customWidth="1"/>
    <col min="2" max="2" width="66.7109375" customWidth="1"/>
    <col min="3" max="3" width="50.140625" customWidth="1"/>
    <col min="4" max="9" width="13.28515625" customWidth="1"/>
  </cols>
  <sheetData>
    <row r="1" spans="2:9" ht="9.9499999999999993" customHeight="1" x14ac:dyDescent="0.25"/>
    <row r="2" spans="2:9" ht="39.950000000000003" customHeight="1" x14ac:dyDescent="0.3">
      <c r="B2" s="129" t="s">
        <v>191</v>
      </c>
      <c r="C2" s="125"/>
      <c r="D2" s="2"/>
      <c r="E2" s="2"/>
      <c r="F2" s="2"/>
      <c r="G2" s="2"/>
      <c r="H2" s="2"/>
      <c r="I2" s="2"/>
    </row>
    <row r="3" spans="2:9" ht="21.95" customHeight="1" x14ac:dyDescent="0.3">
      <c r="B3" s="145" t="s">
        <v>221</v>
      </c>
      <c r="C3" s="125"/>
      <c r="D3" s="2"/>
      <c r="E3" s="2"/>
      <c r="F3" s="2"/>
      <c r="G3" s="2"/>
      <c r="H3" s="2"/>
      <c r="I3" s="2"/>
    </row>
    <row r="4" spans="2:9" ht="9.9499999999999993" customHeight="1" thickBot="1" x14ac:dyDescent="0.35">
      <c r="B4" s="2"/>
      <c r="C4" s="2"/>
      <c r="D4" s="2"/>
      <c r="E4" s="2"/>
      <c r="F4" s="2"/>
      <c r="G4" s="2"/>
      <c r="H4" s="2"/>
      <c r="I4" s="2"/>
    </row>
    <row r="5" spans="2:9" ht="24" customHeight="1" thickBot="1" x14ac:dyDescent="0.35">
      <c r="B5" s="3" t="s">
        <v>194</v>
      </c>
      <c r="C5" s="4" t="s">
        <v>195</v>
      </c>
      <c r="D5" s="2"/>
      <c r="E5" s="2"/>
      <c r="F5" s="2"/>
      <c r="G5" s="2"/>
      <c r="H5" s="2"/>
      <c r="I5" s="2"/>
    </row>
    <row r="6" spans="2:9" ht="27.95" customHeight="1" x14ac:dyDescent="0.3">
      <c r="B6" s="2"/>
      <c r="C6" s="2"/>
      <c r="D6" s="2"/>
      <c r="E6" s="2"/>
      <c r="F6" s="2"/>
      <c r="G6" s="2"/>
      <c r="H6" s="2"/>
      <c r="I6" s="2"/>
    </row>
    <row r="7" spans="2:9" ht="15.95" customHeight="1" thickBot="1" x14ac:dyDescent="0.35">
      <c r="B7" s="2"/>
      <c r="C7" s="2"/>
      <c r="D7" s="123" t="s">
        <v>210</v>
      </c>
      <c r="E7" s="125"/>
      <c r="F7" s="125"/>
      <c r="G7" s="125"/>
      <c r="H7" s="125"/>
      <c r="I7" s="125"/>
    </row>
    <row r="8" spans="2:9" ht="27.95" customHeight="1" thickBot="1" x14ac:dyDescent="0.35">
      <c r="B8" s="126" t="s">
        <v>133</v>
      </c>
      <c r="C8" s="127"/>
      <c r="D8" s="5">
        <v>1</v>
      </c>
      <c r="E8" s="6">
        <v>2</v>
      </c>
      <c r="F8" s="6">
        <v>3</v>
      </c>
      <c r="G8" s="6">
        <v>4</v>
      </c>
      <c r="H8" s="6">
        <v>5</v>
      </c>
      <c r="I8" s="7">
        <v>6</v>
      </c>
    </row>
    <row r="9" spans="2:9" ht="27.95" customHeight="1" x14ac:dyDescent="0.3">
      <c r="B9" s="31" t="s">
        <v>189</v>
      </c>
      <c r="C9" s="32" t="str">
        <f>'Form. Empresa'!C9</f>
        <v>RENOVA</v>
      </c>
      <c r="D9" s="2"/>
      <c r="E9" s="2"/>
      <c r="F9" s="2"/>
      <c r="G9" s="2"/>
      <c r="H9" s="2"/>
      <c r="I9" s="2"/>
    </row>
    <row r="10" spans="2:9" ht="27.95" customHeight="1" x14ac:dyDescent="0.3">
      <c r="B10" s="121" t="s">
        <v>134</v>
      </c>
      <c r="C10" s="122"/>
      <c r="D10" s="2"/>
      <c r="E10" s="2"/>
      <c r="F10" s="2"/>
      <c r="G10" s="2"/>
      <c r="H10" s="2"/>
      <c r="I10" s="2"/>
    </row>
    <row r="11" spans="2:9" ht="27.95" customHeight="1" x14ac:dyDescent="0.3">
      <c r="B11" s="10" t="s">
        <v>345</v>
      </c>
      <c r="C11" s="11" t="s">
        <v>27</v>
      </c>
      <c r="D11" s="2"/>
      <c r="E11" s="2"/>
      <c r="F11" s="2"/>
      <c r="G11" s="2"/>
      <c r="H11" s="2"/>
      <c r="I11" s="2"/>
    </row>
    <row r="12" spans="2:9" ht="26.1" customHeight="1" x14ac:dyDescent="0.3">
      <c r="B12" s="121" t="s">
        <v>135</v>
      </c>
      <c r="C12" s="122"/>
      <c r="D12" s="2"/>
      <c r="E12" s="2"/>
      <c r="F12" s="2"/>
      <c r="G12" s="2"/>
      <c r="H12" s="2"/>
      <c r="I12" s="2"/>
    </row>
    <row r="13" spans="2:9" ht="27.95" customHeight="1" x14ac:dyDescent="0.3">
      <c r="B13" s="10" t="s">
        <v>29</v>
      </c>
      <c r="C13" s="11" t="s">
        <v>155</v>
      </c>
      <c r="D13" s="2"/>
      <c r="E13" s="2"/>
      <c r="F13" s="2"/>
      <c r="G13" s="2"/>
      <c r="H13" s="2"/>
      <c r="I13" s="2"/>
    </row>
    <row r="14" spans="2:9" ht="27.95" customHeight="1" x14ac:dyDescent="0.3">
      <c r="B14" s="10" t="s">
        <v>30</v>
      </c>
      <c r="C14" s="11" t="s">
        <v>156</v>
      </c>
      <c r="D14" s="2"/>
      <c r="E14" s="2"/>
      <c r="F14" s="2"/>
      <c r="G14" s="2"/>
      <c r="H14" s="2"/>
      <c r="I14" s="2"/>
    </row>
    <row r="15" spans="2:9" ht="26.1" customHeight="1" x14ac:dyDescent="0.3">
      <c r="B15" s="121" t="s">
        <v>136</v>
      </c>
      <c r="C15" s="122"/>
      <c r="D15" s="2"/>
      <c r="E15" s="2"/>
      <c r="F15" s="2"/>
      <c r="G15" s="2"/>
      <c r="H15" s="2"/>
      <c r="I15" s="2"/>
    </row>
    <row r="16" spans="2:9" ht="27.95" customHeight="1" x14ac:dyDescent="0.3">
      <c r="B16" s="10" t="s">
        <v>32</v>
      </c>
      <c r="C16" s="11" t="s">
        <v>33</v>
      </c>
      <c r="D16" s="2"/>
      <c r="E16" s="2"/>
      <c r="F16" s="2"/>
      <c r="G16" s="2"/>
      <c r="H16" s="2"/>
      <c r="I16" s="2"/>
    </row>
    <row r="17" spans="2:9" ht="27.95" customHeight="1" x14ac:dyDescent="0.3">
      <c r="B17" s="10" t="s">
        <v>34</v>
      </c>
      <c r="C17" s="11" t="s">
        <v>35</v>
      </c>
      <c r="D17" s="2"/>
      <c r="E17" s="2"/>
      <c r="F17" s="2"/>
      <c r="G17" s="2"/>
      <c r="H17" s="2"/>
      <c r="I17" s="2"/>
    </row>
    <row r="18" spans="2:9" ht="27.95" customHeight="1" x14ac:dyDescent="0.3">
      <c r="B18" s="10" t="s">
        <v>137</v>
      </c>
      <c r="C18" s="11" t="s">
        <v>157</v>
      </c>
      <c r="D18" s="2"/>
      <c r="E18" s="2"/>
      <c r="F18" s="2"/>
      <c r="G18" s="2"/>
      <c r="H18" s="2"/>
      <c r="I18" s="2"/>
    </row>
    <row r="19" spans="2:9" ht="27.95" customHeight="1" x14ac:dyDescent="0.3">
      <c r="B19" s="10" t="s">
        <v>37</v>
      </c>
      <c r="C19" s="11" t="s">
        <v>38</v>
      </c>
      <c r="D19" s="2"/>
      <c r="E19" s="2"/>
      <c r="F19" s="2"/>
      <c r="G19" s="2"/>
      <c r="H19" s="2"/>
      <c r="I19" s="2"/>
    </row>
    <row r="20" spans="2:9" ht="27.95" customHeight="1" x14ac:dyDescent="0.3">
      <c r="B20" s="10" t="s">
        <v>39</v>
      </c>
      <c r="C20" s="11" t="s">
        <v>40</v>
      </c>
      <c r="D20" s="2"/>
      <c r="E20" s="2"/>
      <c r="F20" s="2"/>
      <c r="G20" s="2"/>
      <c r="H20" s="2"/>
      <c r="I20" s="2"/>
    </row>
    <row r="21" spans="2:9" ht="27.95" customHeight="1" x14ac:dyDescent="0.3">
      <c r="B21" s="10" t="s">
        <v>41</v>
      </c>
      <c r="C21" s="11" t="s">
        <v>158</v>
      </c>
      <c r="D21" s="2"/>
      <c r="E21" s="2"/>
      <c r="F21" s="2"/>
      <c r="G21" s="2"/>
      <c r="H21" s="2"/>
      <c r="I21" s="2"/>
    </row>
    <row r="22" spans="2:9" ht="27.95" customHeight="1" x14ac:dyDescent="0.3">
      <c r="B22" s="10" t="s">
        <v>42</v>
      </c>
      <c r="C22" s="11" t="s">
        <v>43</v>
      </c>
      <c r="D22" s="2"/>
      <c r="E22" s="2"/>
      <c r="F22" s="2"/>
      <c r="G22" s="2"/>
      <c r="H22" s="2"/>
      <c r="I22" s="2"/>
    </row>
    <row r="23" spans="2:9" ht="27.95" customHeight="1" x14ac:dyDescent="0.3">
      <c r="B23" s="10" t="s">
        <v>44</v>
      </c>
      <c r="C23" s="11" t="s">
        <v>45</v>
      </c>
      <c r="D23" s="2"/>
      <c r="E23" s="2"/>
      <c r="F23" s="2"/>
      <c r="G23" s="2"/>
      <c r="H23" s="2"/>
      <c r="I23" s="2"/>
    </row>
    <row r="24" spans="2:9" ht="27.95" customHeight="1" x14ac:dyDescent="0.3">
      <c r="B24" s="10" t="s">
        <v>138</v>
      </c>
      <c r="C24" s="11">
        <v>11</v>
      </c>
      <c r="D24" s="2"/>
      <c r="E24" s="2"/>
      <c r="F24" s="2"/>
      <c r="G24" s="2"/>
      <c r="H24" s="2"/>
      <c r="I24" s="2"/>
    </row>
    <row r="25" spans="2:9" ht="26.1" customHeight="1" x14ac:dyDescent="0.3">
      <c r="B25" s="121" t="s">
        <v>139</v>
      </c>
      <c r="C25" s="122"/>
      <c r="D25" s="2"/>
      <c r="E25" s="2"/>
      <c r="F25" s="2"/>
      <c r="G25" s="2"/>
      <c r="H25" s="2"/>
      <c r="I25" s="2"/>
    </row>
    <row r="26" spans="2:9" ht="27.95" customHeight="1" x14ac:dyDescent="0.3">
      <c r="B26" s="10" t="s">
        <v>32</v>
      </c>
      <c r="C26" s="11" t="s">
        <v>47</v>
      </c>
      <c r="D26" s="2"/>
      <c r="E26" s="2"/>
      <c r="F26" s="2"/>
      <c r="G26" s="2"/>
      <c r="H26" s="2"/>
      <c r="I26" s="2"/>
    </row>
    <row r="27" spans="2:9" ht="27.95" customHeight="1" x14ac:dyDescent="0.3">
      <c r="B27" s="10" t="s">
        <v>34</v>
      </c>
      <c r="C27" s="11" t="s">
        <v>159</v>
      </c>
      <c r="D27" s="2"/>
      <c r="E27" s="2"/>
      <c r="F27" s="2"/>
      <c r="G27" s="2"/>
      <c r="H27" s="2"/>
      <c r="I27" s="2"/>
    </row>
    <row r="28" spans="2:9" ht="27.95" customHeight="1" x14ac:dyDescent="0.3">
      <c r="B28" s="10" t="s">
        <v>140</v>
      </c>
      <c r="C28" s="11" t="s">
        <v>49</v>
      </c>
      <c r="D28" s="2"/>
      <c r="E28" s="2"/>
      <c r="F28" s="2"/>
      <c r="G28" s="2"/>
      <c r="H28" s="2"/>
      <c r="I28" s="2"/>
    </row>
    <row r="29" spans="2:9" ht="27.95" customHeight="1" x14ac:dyDescent="0.3">
      <c r="B29" s="10" t="s">
        <v>42</v>
      </c>
      <c r="C29" s="11" t="s">
        <v>43</v>
      </c>
      <c r="D29" s="2"/>
      <c r="E29" s="2"/>
      <c r="F29" s="2"/>
      <c r="G29" s="2"/>
      <c r="H29" s="2"/>
      <c r="I29" s="2"/>
    </row>
    <row r="30" spans="2:9" ht="27.95" customHeight="1" x14ac:dyDescent="0.3">
      <c r="B30" s="10" t="s">
        <v>141</v>
      </c>
      <c r="C30" s="11">
        <v>1</v>
      </c>
      <c r="D30" s="2"/>
      <c r="E30" s="2"/>
      <c r="F30" s="2"/>
      <c r="G30" s="2"/>
      <c r="H30" s="2"/>
      <c r="I30" s="2"/>
    </row>
    <row r="31" spans="2:9" ht="26.1" customHeight="1" x14ac:dyDescent="0.3">
      <c r="B31" s="121" t="s">
        <v>142</v>
      </c>
      <c r="C31" s="122"/>
      <c r="D31" s="2"/>
      <c r="E31" s="2"/>
      <c r="F31" s="2"/>
      <c r="G31" s="2"/>
      <c r="H31" s="2"/>
      <c r="I31" s="2"/>
    </row>
    <row r="32" spans="2:9" ht="27.95" customHeight="1" x14ac:dyDescent="0.3">
      <c r="B32" s="10" t="s">
        <v>143</v>
      </c>
      <c r="C32" s="11" t="s">
        <v>51</v>
      </c>
      <c r="D32" s="2"/>
      <c r="E32" s="2"/>
      <c r="F32" s="2"/>
      <c r="G32" s="2"/>
      <c r="H32" s="2"/>
      <c r="I32" s="2"/>
    </row>
    <row r="33" spans="2:9" ht="26.1" customHeight="1" x14ac:dyDescent="0.3">
      <c r="B33" s="121" t="s">
        <v>144</v>
      </c>
      <c r="C33" s="122"/>
      <c r="D33" s="2"/>
      <c r="E33" s="2"/>
      <c r="F33" s="2"/>
      <c r="G33" s="2"/>
      <c r="H33" s="2"/>
      <c r="I33" s="2"/>
    </row>
    <row r="34" spans="2:9" ht="27.95" customHeight="1" x14ac:dyDescent="0.3">
      <c r="B34" s="10" t="s">
        <v>145</v>
      </c>
      <c r="C34" s="11" t="s">
        <v>346</v>
      </c>
      <c r="D34" s="2"/>
      <c r="E34" s="2"/>
      <c r="F34" s="2"/>
      <c r="G34" s="2"/>
      <c r="H34" s="2"/>
      <c r="I34" s="2"/>
    </row>
    <row r="35" spans="2:9" ht="27.95" customHeight="1" x14ac:dyDescent="0.3">
      <c r="B35" s="10" t="s">
        <v>146</v>
      </c>
      <c r="C35" s="11" t="s">
        <v>348</v>
      </c>
      <c r="D35" s="2"/>
      <c r="E35" s="2"/>
      <c r="F35" s="2"/>
      <c r="G35" s="2"/>
      <c r="H35" s="2"/>
      <c r="I35" s="2"/>
    </row>
    <row r="36" spans="2:9" ht="27.95" customHeight="1" x14ac:dyDescent="0.3">
      <c r="B36" s="10" t="s">
        <v>147</v>
      </c>
      <c r="C36" s="11" t="s">
        <v>347</v>
      </c>
      <c r="D36" s="2"/>
      <c r="E36" s="2"/>
      <c r="F36" s="2"/>
      <c r="G36" s="2"/>
      <c r="H36" s="2"/>
      <c r="I36" s="2"/>
    </row>
    <row r="37" spans="2:9" ht="26.1" customHeight="1" x14ac:dyDescent="0.3">
      <c r="B37" s="121" t="s">
        <v>342</v>
      </c>
      <c r="C37" s="122"/>
      <c r="D37" s="2"/>
      <c r="E37" s="2"/>
      <c r="F37" s="2"/>
      <c r="G37" s="2"/>
      <c r="H37" s="2"/>
      <c r="I37" s="2"/>
    </row>
    <row r="38" spans="2:9" ht="27.95" customHeight="1" x14ac:dyDescent="0.3">
      <c r="B38" s="10" t="s">
        <v>46</v>
      </c>
      <c r="C38" s="11" t="s">
        <v>6</v>
      </c>
      <c r="D38" s="2"/>
      <c r="E38" s="2"/>
      <c r="F38" s="2"/>
      <c r="G38" s="2"/>
      <c r="H38" s="2"/>
      <c r="I38" s="2"/>
    </row>
    <row r="39" spans="2:9" ht="27.95" customHeight="1" x14ac:dyDescent="0.3">
      <c r="B39" s="10" t="s">
        <v>31</v>
      </c>
      <c r="C39" s="11" t="s">
        <v>160</v>
      </c>
      <c r="D39" s="2"/>
      <c r="E39" s="2"/>
      <c r="F39" s="2"/>
      <c r="G39" s="2"/>
      <c r="H39" s="2"/>
      <c r="I39" s="2"/>
    </row>
    <row r="40" spans="2:9" ht="27.95" customHeight="1" x14ac:dyDescent="0.3">
      <c r="B40" s="10" t="s">
        <v>149</v>
      </c>
      <c r="C40" s="11" t="s">
        <v>6</v>
      </c>
      <c r="D40" s="2"/>
      <c r="E40" s="2"/>
      <c r="F40" s="2"/>
      <c r="G40" s="2"/>
      <c r="H40" s="2"/>
      <c r="I40" s="2"/>
    </row>
    <row r="41" spans="2:9" ht="15.95" customHeight="1" thickBot="1" x14ac:dyDescent="0.35">
      <c r="B41" s="2"/>
      <c r="C41" s="2"/>
      <c r="D41" s="123" t="s">
        <v>210</v>
      </c>
      <c r="E41" s="125"/>
      <c r="F41" s="125"/>
      <c r="G41" s="125"/>
      <c r="H41" s="125"/>
      <c r="I41" s="125"/>
    </row>
    <row r="42" spans="2:9" ht="32.1" customHeight="1" thickBot="1" x14ac:dyDescent="0.35">
      <c r="B42" s="126" t="s">
        <v>150</v>
      </c>
      <c r="C42" s="127"/>
      <c r="D42" s="6">
        <v>1</v>
      </c>
      <c r="E42" s="5">
        <v>2</v>
      </c>
      <c r="F42" s="6">
        <v>3</v>
      </c>
      <c r="G42" s="6">
        <v>4</v>
      </c>
      <c r="H42" s="6">
        <v>5</v>
      </c>
      <c r="I42" s="7">
        <v>6</v>
      </c>
    </row>
    <row r="43" spans="2:9" ht="32.1" customHeight="1" x14ac:dyDescent="0.3">
      <c r="B43" s="33" t="s">
        <v>189</v>
      </c>
      <c r="C43" s="32" t="str">
        <f>'Form. Empresa'!C29</f>
        <v>SOLI SOLAR</v>
      </c>
      <c r="D43" s="2"/>
      <c r="E43" s="2"/>
      <c r="F43" s="2"/>
      <c r="G43" s="2"/>
      <c r="H43" s="2"/>
      <c r="I43" s="2"/>
    </row>
    <row r="44" spans="2:9" ht="26.1" customHeight="1" x14ac:dyDescent="0.3">
      <c r="B44" s="121" t="s">
        <v>134</v>
      </c>
      <c r="C44" s="122"/>
      <c r="D44" s="2"/>
      <c r="E44" s="2"/>
      <c r="F44" s="2"/>
      <c r="G44" s="2"/>
      <c r="H44" s="2"/>
      <c r="I44" s="2"/>
    </row>
    <row r="45" spans="2:9" ht="27.95" customHeight="1" x14ac:dyDescent="0.3">
      <c r="B45" s="10" t="s">
        <v>89</v>
      </c>
      <c r="C45" s="11"/>
      <c r="D45" s="2"/>
      <c r="E45" s="2"/>
      <c r="F45" s="2"/>
      <c r="G45" s="2"/>
      <c r="H45" s="2"/>
      <c r="I45" s="2"/>
    </row>
    <row r="46" spans="2:9" ht="26.1" customHeight="1" x14ac:dyDescent="0.3">
      <c r="B46" s="121" t="s">
        <v>135</v>
      </c>
      <c r="C46" s="122"/>
      <c r="D46" s="2"/>
      <c r="E46" s="2"/>
      <c r="F46" s="2"/>
      <c r="G46" s="2"/>
      <c r="H46" s="2"/>
      <c r="I46" s="2"/>
    </row>
    <row r="47" spans="2:9" ht="27.95" customHeight="1" x14ac:dyDescent="0.3">
      <c r="B47" s="10" t="s">
        <v>29</v>
      </c>
      <c r="C47" s="11"/>
      <c r="D47" s="2"/>
      <c r="E47" s="2"/>
      <c r="F47" s="2"/>
      <c r="G47" s="2"/>
      <c r="H47" s="2"/>
      <c r="I47" s="2"/>
    </row>
    <row r="48" spans="2:9" ht="27.95" customHeight="1" x14ac:dyDescent="0.3">
      <c r="B48" s="10" t="s">
        <v>30</v>
      </c>
      <c r="C48" s="11"/>
      <c r="D48" s="2"/>
      <c r="E48" s="2"/>
      <c r="F48" s="2"/>
      <c r="G48" s="2"/>
      <c r="H48" s="2"/>
      <c r="I48" s="2"/>
    </row>
    <row r="49" spans="2:9" ht="26.1" customHeight="1" x14ac:dyDescent="0.3">
      <c r="B49" s="121" t="s">
        <v>136</v>
      </c>
      <c r="C49" s="122"/>
      <c r="D49" s="2"/>
      <c r="E49" s="2"/>
      <c r="F49" s="2"/>
      <c r="G49" s="2"/>
      <c r="H49" s="2"/>
      <c r="I49" s="2"/>
    </row>
    <row r="50" spans="2:9" ht="27.95" customHeight="1" x14ac:dyDescent="0.3">
      <c r="B50" s="10" t="s">
        <v>32</v>
      </c>
      <c r="C50" s="11"/>
      <c r="D50" s="2"/>
      <c r="E50" s="2"/>
      <c r="F50" s="2"/>
      <c r="G50" s="2"/>
      <c r="H50" s="2"/>
      <c r="I50" s="2"/>
    </row>
    <row r="51" spans="2:9" ht="27.95" customHeight="1" x14ac:dyDescent="0.3">
      <c r="B51" s="10" t="s">
        <v>34</v>
      </c>
      <c r="C51" s="11"/>
      <c r="D51" s="2"/>
      <c r="E51" s="2"/>
      <c r="F51" s="2"/>
      <c r="G51" s="2"/>
      <c r="H51" s="2"/>
      <c r="I51" s="2"/>
    </row>
    <row r="52" spans="2:9" ht="27.95" customHeight="1" x14ac:dyDescent="0.3">
      <c r="B52" s="10" t="s">
        <v>137</v>
      </c>
      <c r="C52" s="11"/>
      <c r="D52" s="2"/>
      <c r="E52" s="2"/>
      <c r="F52" s="2"/>
      <c r="G52" s="2"/>
      <c r="H52" s="2"/>
      <c r="I52" s="2"/>
    </row>
    <row r="53" spans="2:9" ht="27.95" customHeight="1" x14ac:dyDescent="0.3">
      <c r="B53" s="10" t="s">
        <v>37</v>
      </c>
      <c r="C53" s="11"/>
      <c r="D53" s="2"/>
      <c r="E53" s="2"/>
      <c r="F53" s="2"/>
      <c r="G53" s="2"/>
      <c r="H53" s="2"/>
      <c r="I53" s="2"/>
    </row>
    <row r="54" spans="2:9" ht="27.95" customHeight="1" x14ac:dyDescent="0.3">
      <c r="B54" s="10" t="s">
        <v>39</v>
      </c>
      <c r="C54" s="11"/>
      <c r="D54" s="2"/>
      <c r="E54" s="2"/>
      <c r="F54" s="2"/>
      <c r="G54" s="2"/>
      <c r="H54" s="2"/>
      <c r="I54" s="2"/>
    </row>
    <row r="55" spans="2:9" ht="27.95" customHeight="1" x14ac:dyDescent="0.3">
      <c r="B55" s="10" t="s">
        <v>41</v>
      </c>
      <c r="C55" s="11"/>
      <c r="D55" s="2"/>
      <c r="E55" s="2"/>
      <c r="F55" s="2"/>
      <c r="G55" s="2"/>
      <c r="H55" s="2"/>
      <c r="I55" s="2"/>
    </row>
    <row r="56" spans="2:9" ht="27.95" customHeight="1" x14ac:dyDescent="0.3">
      <c r="B56" s="10" t="s">
        <v>42</v>
      </c>
      <c r="C56" s="11"/>
      <c r="D56" s="2"/>
      <c r="E56" s="2"/>
      <c r="F56" s="2"/>
      <c r="G56" s="2"/>
      <c r="H56" s="2"/>
      <c r="I56" s="2"/>
    </row>
    <row r="57" spans="2:9" ht="27.95" customHeight="1" x14ac:dyDescent="0.3">
      <c r="B57" s="10" t="s">
        <v>44</v>
      </c>
      <c r="C57" s="11"/>
      <c r="D57" s="2"/>
      <c r="E57" s="2"/>
      <c r="F57" s="2"/>
      <c r="G57" s="2"/>
      <c r="H57" s="2"/>
      <c r="I57" s="2"/>
    </row>
    <row r="58" spans="2:9" ht="27.95" customHeight="1" x14ac:dyDescent="0.3">
      <c r="B58" s="10" t="s">
        <v>138</v>
      </c>
      <c r="C58" s="11"/>
      <c r="D58" s="2"/>
      <c r="E58" s="2"/>
      <c r="F58" s="2"/>
      <c r="G58" s="2"/>
      <c r="H58" s="2"/>
      <c r="I58" s="2"/>
    </row>
    <row r="59" spans="2:9" ht="26.1" customHeight="1" x14ac:dyDescent="0.3">
      <c r="B59" s="121" t="s">
        <v>139</v>
      </c>
      <c r="C59" s="122"/>
      <c r="D59" s="2"/>
      <c r="E59" s="2"/>
      <c r="F59" s="2"/>
      <c r="G59" s="2"/>
      <c r="H59" s="2"/>
      <c r="I59" s="2"/>
    </row>
    <row r="60" spans="2:9" ht="27.95" customHeight="1" x14ac:dyDescent="0.3">
      <c r="B60" s="10" t="s">
        <v>32</v>
      </c>
      <c r="C60" s="11"/>
      <c r="D60" s="2"/>
      <c r="E60" s="2"/>
      <c r="F60" s="2"/>
      <c r="G60" s="2"/>
      <c r="H60" s="2"/>
      <c r="I60" s="2"/>
    </row>
    <row r="61" spans="2:9" ht="27.95" customHeight="1" x14ac:dyDescent="0.3">
      <c r="B61" s="10" t="s">
        <v>34</v>
      </c>
      <c r="C61" s="11"/>
      <c r="D61" s="2"/>
      <c r="E61" s="2"/>
      <c r="F61" s="2"/>
      <c r="G61" s="2"/>
      <c r="H61" s="2"/>
      <c r="I61" s="2"/>
    </row>
    <row r="62" spans="2:9" ht="27.95" customHeight="1" x14ac:dyDescent="0.3">
      <c r="B62" s="10" t="s">
        <v>140</v>
      </c>
      <c r="C62" s="11"/>
      <c r="D62" s="2"/>
      <c r="E62" s="2"/>
      <c r="F62" s="2"/>
      <c r="G62" s="2"/>
      <c r="H62" s="2"/>
      <c r="I62" s="2"/>
    </row>
    <row r="63" spans="2:9" ht="27.95" customHeight="1" x14ac:dyDescent="0.3">
      <c r="B63" s="10" t="s">
        <v>42</v>
      </c>
      <c r="C63" s="11"/>
      <c r="D63" s="2"/>
      <c r="E63" s="2"/>
      <c r="F63" s="2"/>
      <c r="G63" s="2"/>
      <c r="H63" s="2"/>
      <c r="I63" s="2"/>
    </row>
    <row r="64" spans="2:9" ht="27.95" customHeight="1" x14ac:dyDescent="0.3">
      <c r="B64" s="10" t="s">
        <v>141</v>
      </c>
      <c r="C64" s="11"/>
      <c r="D64" s="2"/>
      <c r="E64" s="2"/>
      <c r="F64" s="2"/>
      <c r="G64" s="2"/>
      <c r="H64" s="2"/>
      <c r="I64" s="2"/>
    </row>
    <row r="65" spans="2:9" ht="26.1" customHeight="1" x14ac:dyDescent="0.3">
      <c r="B65" s="121" t="s">
        <v>142</v>
      </c>
      <c r="C65" s="122"/>
      <c r="D65" s="2"/>
      <c r="E65" s="2"/>
      <c r="F65" s="2"/>
      <c r="G65" s="2"/>
      <c r="H65" s="2"/>
      <c r="I65" s="2"/>
    </row>
    <row r="66" spans="2:9" ht="27.95" customHeight="1" x14ac:dyDescent="0.3">
      <c r="B66" s="10" t="s">
        <v>143</v>
      </c>
      <c r="C66" s="11"/>
      <c r="D66" s="2"/>
      <c r="E66" s="2"/>
      <c r="F66" s="2"/>
      <c r="G66" s="2"/>
      <c r="H66" s="2"/>
      <c r="I66" s="2"/>
    </row>
    <row r="67" spans="2:9" ht="26.1" customHeight="1" x14ac:dyDescent="0.3">
      <c r="B67" s="121" t="s">
        <v>144</v>
      </c>
      <c r="C67" s="122"/>
      <c r="D67" s="2"/>
      <c r="E67" s="2"/>
      <c r="F67" s="2"/>
      <c r="G67" s="2"/>
      <c r="H67" s="2"/>
      <c r="I67" s="2"/>
    </row>
    <row r="68" spans="2:9" ht="27.95" customHeight="1" x14ac:dyDescent="0.3">
      <c r="B68" s="10" t="s">
        <v>145</v>
      </c>
      <c r="C68" s="11"/>
      <c r="D68" s="2"/>
      <c r="E68" s="2"/>
      <c r="F68" s="2"/>
      <c r="G68" s="2"/>
      <c r="H68" s="2"/>
      <c r="I68" s="2"/>
    </row>
    <row r="69" spans="2:9" ht="27.95" customHeight="1" x14ac:dyDescent="0.3">
      <c r="B69" s="10" t="s">
        <v>146</v>
      </c>
      <c r="C69" s="11"/>
      <c r="D69" s="2"/>
      <c r="E69" s="2"/>
      <c r="F69" s="2"/>
      <c r="G69" s="2"/>
      <c r="H69" s="2"/>
      <c r="I69" s="2"/>
    </row>
    <row r="70" spans="2:9" ht="27.95" customHeight="1" x14ac:dyDescent="0.3">
      <c r="B70" s="10" t="s">
        <v>147</v>
      </c>
      <c r="C70" s="11"/>
      <c r="D70" s="2"/>
      <c r="E70" s="2"/>
      <c r="F70" s="2"/>
      <c r="G70" s="2"/>
      <c r="H70" s="2"/>
      <c r="I70" s="2"/>
    </row>
    <row r="71" spans="2:9" ht="26.1" customHeight="1" x14ac:dyDescent="0.3">
      <c r="B71" s="121" t="s">
        <v>342</v>
      </c>
      <c r="C71" s="122"/>
      <c r="D71" s="2"/>
      <c r="E71" s="2"/>
      <c r="F71" s="2"/>
      <c r="G71" s="2"/>
      <c r="H71" s="2"/>
      <c r="I71" s="2"/>
    </row>
    <row r="72" spans="2:9" ht="27.95" customHeight="1" x14ac:dyDescent="0.3">
      <c r="B72" s="10" t="s">
        <v>46</v>
      </c>
      <c r="C72" s="11"/>
      <c r="D72" s="2"/>
      <c r="E72" s="2"/>
      <c r="F72" s="2"/>
      <c r="G72" s="2"/>
      <c r="H72" s="2"/>
      <c r="I72" s="2"/>
    </row>
    <row r="73" spans="2:9" ht="27.95" customHeight="1" x14ac:dyDescent="0.3">
      <c r="B73" s="10" t="s">
        <v>31</v>
      </c>
      <c r="C73" s="11"/>
      <c r="D73" s="2"/>
      <c r="E73" s="2"/>
      <c r="F73" s="2"/>
      <c r="G73" s="2"/>
      <c r="H73" s="2"/>
      <c r="I73" s="2"/>
    </row>
    <row r="74" spans="2:9" ht="27.95" customHeight="1" x14ac:dyDescent="0.3">
      <c r="B74" s="10" t="s">
        <v>149</v>
      </c>
      <c r="C74" s="11"/>
      <c r="D74" s="2"/>
      <c r="E74" s="2"/>
      <c r="F74" s="2"/>
      <c r="G74" s="2"/>
      <c r="H74" s="2"/>
      <c r="I74" s="2"/>
    </row>
    <row r="75" spans="2:9" ht="15.95" customHeight="1" thickBot="1" x14ac:dyDescent="0.35">
      <c r="B75" s="2"/>
      <c r="C75" s="2"/>
      <c r="D75" s="123" t="s">
        <v>210</v>
      </c>
      <c r="E75" s="125"/>
      <c r="F75" s="125"/>
      <c r="G75" s="125"/>
      <c r="H75" s="125"/>
      <c r="I75" s="125"/>
    </row>
    <row r="76" spans="2:9" ht="32.1" customHeight="1" thickBot="1" x14ac:dyDescent="0.35">
      <c r="B76" s="126" t="s">
        <v>151</v>
      </c>
      <c r="C76" s="127"/>
      <c r="D76" s="6">
        <v>1</v>
      </c>
      <c r="E76" s="6">
        <v>2</v>
      </c>
      <c r="F76" s="5">
        <v>3</v>
      </c>
      <c r="G76" s="6">
        <v>4</v>
      </c>
      <c r="H76" s="6">
        <v>5</v>
      </c>
      <c r="I76" s="7">
        <v>6</v>
      </c>
    </row>
    <row r="77" spans="2:9" ht="32.1" customHeight="1" x14ac:dyDescent="0.3">
      <c r="B77" s="33" t="s">
        <v>189</v>
      </c>
      <c r="C77" s="32" t="str">
        <f>'Form. Empresa'!C49</f>
        <v>ENERGIA SGE</v>
      </c>
      <c r="D77" s="2"/>
      <c r="E77" s="2"/>
      <c r="F77" s="2"/>
      <c r="G77" s="2"/>
      <c r="H77" s="2"/>
      <c r="I77" s="2"/>
    </row>
    <row r="78" spans="2:9" ht="26.1" customHeight="1" x14ac:dyDescent="0.3">
      <c r="B78" s="121" t="s">
        <v>134</v>
      </c>
      <c r="C78" s="122"/>
      <c r="D78" s="2"/>
      <c r="E78" s="2"/>
      <c r="F78" s="2"/>
      <c r="G78" s="2"/>
      <c r="H78" s="2"/>
      <c r="I78" s="2"/>
    </row>
    <row r="79" spans="2:9" ht="27.95" customHeight="1" x14ac:dyDescent="0.3">
      <c r="B79" s="10" t="s">
        <v>89</v>
      </c>
      <c r="C79" s="11"/>
      <c r="D79" s="2"/>
      <c r="E79" s="2"/>
      <c r="F79" s="2"/>
      <c r="G79" s="2"/>
      <c r="H79" s="2"/>
      <c r="I79" s="2"/>
    </row>
    <row r="80" spans="2:9" ht="26.1" customHeight="1" x14ac:dyDescent="0.3">
      <c r="B80" s="121" t="s">
        <v>135</v>
      </c>
      <c r="C80" s="122"/>
      <c r="D80" s="2"/>
      <c r="E80" s="2"/>
      <c r="F80" s="2"/>
      <c r="G80" s="2"/>
      <c r="H80" s="2"/>
      <c r="I80" s="2"/>
    </row>
    <row r="81" spans="2:9" ht="27.95" customHeight="1" x14ac:dyDescent="0.3">
      <c r="B81" s="10" t="s">
        <v>29</v>
      </c>
      <c r="C81" s="11"/>
      <c r="D81" s="2"/>
      <c r="E81" s="2"/>
      <c r="F81" s="2"/>
      <c r="G81" s="2"/>
      <c r="H81" s="2"/>
      <c r="I81" s="2"/>
    </row>
    <row r="82" spans="2:9" ht="27.95" customHeight="1" x14ac:dyDescent="0.3">
      <c r="B82" s="10" t="s">
        <v>30</v>
      </c>
      <c r="C82" s="11"/>
      <c r="D82" s="2"/>
      <c r="E82" s="2"/>
      <c r="F82" s="2"/>
      <c r="G82" s="2"/>
      <c r="H82" s="2"/>
      <c r="I82" s="2"/>
    </row>
    <row r="83" spans="2:9" ht="26.1" customHeight="1" x14ac:dyDescent="0.3">
      <c r="B83" s="121" t="s">
        <v>136</v>
      </c>
      <c r="C83" s="122"/>
      <c r="D83" s="2"/>
      <c r="E83" s="2"/>
      <c r="F83" s="2"/>
      <c r="G83" s="2"/>
      <c r="H83" s="2"/>
      <c r="I83" s="2"/>
    </row>
    <row r="84" spans="2:9" ht="27.95" customHeight="1" x14ac:dyDescent="0.3">
      <c r="B84" s="10" t="s">
        <v>32</v>
      </c>
      <c r="C84" s="11"/>
      <c r="D84" s="2"/>
      <c r="E84" s="2"/>
      <c r="F84" s="2"/>
      <c r="G84" s="2"/>
      <c r="H84" s="2"/>
      <c r="I84" s="2"/>
    </row>
    <row r="85" spans="2:9" ht="27.95" customHeight="1" x14ac:dyDescent="0.3">
      <c r="B85" s="10" t="s">
        <v>34</v>
      </c>
      <c r="C85" s="11"/>
      <c r="D85" s="2"/>
      <c r="E85" s="2"/>
      <c r="F85" s="2"/>
      <c r="G85" s="2"/>
      <c r="H85" s="2"/>
      <c r="I85" s="2"/>
    </row>
    <row r="86" spans="2:9" ht="27.95" customHeight="1" x14ac:dyDescent="0.3">
      <c r="B86" s="10" t="s">
        <v>137</v>
      </c>
      <c r="C86" s="11"/>
      <c r="D86" s="2"/>
      <c r="E86" s="2"/>
      <c r="F86" s="2"/>
      <c r="G86" s="2"/>
      <c r="H86" s="2"/>
      <c r="I86" s="2"/>
    </row>
    <row r="87" spans="2:9" ht="27.95" customHeight="1" x14ac:dyDescent="0.3">
      <c r="B87" s="10" t="s">
        <v>37</v>
      </c>
      <c r="C87" s="11"/>
      <c r="D87" s="2"/>
      <c r="E87" s="2"/>
      <c r="F87" s="2"/>
      <c r="G87" s="2"/>
      <c r="H87" s="2"/>
      <c r="I87" s="2"/>
    </row>
    <row r="88" spans="2:9" ht="27.95" customHeight="1" x14ac:dyDescent="0.3">
      <c r="B88" s="10" t="s">
        <v>39</v>
      </c>
      <c r="C88" s="11"/>
      <c r="D88" s="2"/>
      <c r="E88" s="2"/>
      <c r="F88" s="2"/>
      <c r="G88" s="2"/>
      <c r="H88" s="2"/>
      <c r="I88" s="2"/>
    </row>
    <row r="89" spans="2:9" ht="27.95" customHeight="1" x14ac:dyDescent="0.3">
      <c r="B89" s="10" t="s">
        <v>41</v>
      </c>
      <c r="C89" s="11"/>
      <c r="D89" s="2"/>
      <c r="E89" s="2"/>
      <c r="F89" s="2"/>
      <c r="G89" s="2"/>
      <c r="H89" s="2"/>
      <c r="I89" s="2"/>
    </row>
    <row r="90" spans="2:9" ht="27.95" customHeight="1" x14ac:dyDescent="0.3">
      <c r="B90" s="10" t="s">
        <v>42</v>
      </c>
      <c r="C90" s="11"/>
      <c r="D90" s="2"/>
      <c r="E90" s="2"/>
      <c r="F90" s="2"/>
      <c r="G90" s="2"/>
      <c r="H90" s="2"/>
      <c r="I90" s="2"/>
    </row>
    <row r="91" spans="2:9" ht="27.95" customHeight="1" x14ac:dyDescent="0.3">
      <c r="B91" s="10" t="s">
        <v>44</v>
      </c>
      <c r="C91" s="11"/>
      <c r="D91" s="2"/>
      <c r="E91" s="2"/>
      <c r="F91" s="2"/>
      <c r="G91" s="2"/>
      <c r="H91" s="2"/>
      <c r="I91" s="2"/>
    </row>
    <row r="92" spans="2:9" ht="27.95" customHeight="1" x14ac:dyDescent="0.3">
      <c r="B92" s="10" t="s">
        <v>138</v>
      </c>
      <c r="C92" s="11"/>
      <c r="D92" s="2"/>
      <c r="E92" s="2"/>
      <c r="F92" s="2"/>
      <c r="G92" s="2"/>
      <c r="H92" s="2"/>
      <c r="I92" s="2"/>
    </row>
    <row r="93" spans="2:9" ht="26.1" customHeight="1" x14ac:dyDescent="0.3">
      <c r="B93" s="121" t="s">
        <v>139</v>
      </c>
      <c r="C93" s="122"/>
      <c r="D93" s="2"/>
      <c r="E93" s="2"/>
      <c r="F93" s="2"/>
      <c r="G93" s="2"/>
      <c r="H93" s="2"/>
      <c r="I93" s="2"/>
    </row>
    <row r="94" spans="2:9" ht="27.95" customHeight="1" x14ac:dyDescent="0.3">
      <c r="B94" s="10" t="s">
        <v>32</v>
      </c>
      <c r="C94" s="11"/>
      <c r="D94" s="2"/>
      <c r="E94" s="2"/>
      <c r="F94" s="2"/>
      <c r="G94" s="2"/>
      <c r="H94" s="2"/>
      <c r="I94" s="2"/>
    </row>
    <row r="95" spans="2:9" ht="27.95" customHeight="1" x14ac:dyDescent="0.3">
      <c r="B95" s="10" t="s">
        <v>34</v>
      </c>
      <c r="C95" s="11"/>
      <c r="D95" s="2"/>
      <c r="E95" s="2"/>
      <c r="F95" s="2"/>
      <c r="G95" s="2"/>
      <c r="H95" s="2"/>
      <c r="I95" s="2"/>
    </row>
    <row r="96" spans="2:9" ht="27.95" customHeight="1" x14ac:dyDescent="0.3">
      <c r="B96" s="10" t="s">
        <v>140</v>
      </c>
      <c r="C96" s="11"/>
      <c r="D96" s="2"/>
      <c r="E96" s="2"/>
      <c r="F96" s="2"/>
      <c r="G96" s="2"/>
      <c r="H96" s="2"/>
      <c r="I96" s="2"/>
    </row>
    <row r="97" spans="2:9" ht="27.95" customHeight="1" x14ac:dyDescent="0.3">
      <c r="B97" s="10" t="s">
        <v>42</v>
      </c>
      <c r="C97" s="11"/>
      <c r="D97" s="2"/>
      <c r="E97" s="2"/>
      <c r="F97" s="2"/>
      <c r="G97" s="2"/>
      <c r="H97" s="2"/>
      <c r="I97" s="2"/>
    </row>
    <row r="98" spans="2:9" ht="27.95" customHeight="1" x14ac:dyDescent="0.3">
      <c r="B98" s="10" t="s">
        <v>141</v>
      </c>
      <c r="C98" s="11"/>
      <c r="D98" s="2"/>
      <c r="E98" s="2"/>
      <c r="F98" s="2"/>
      <c r="G98" s="2"/>
      <c r="H98" s="2"/>
      <c r="I98" s="2"/>
    </row>
    <row r="99" spans="2:9" ht="26.1" customHeight="1" x14ac:dyDescent="0.3">
      <c r="B99" s="121" t="s">
        <v>142</v>
      </c>
      <c r="C99" s="122"/>
      <c r="D99" s="2"/>
      <c r="E99" s="2"/>
      <c r="F99" s="2"/>
      <c r="G99" s="2"/>
      <c r="H99" s="2"/>
      <c r="I99" s="2"/>
    </row>
    <row r="100" spans="2:9" ht="27.95" customHeight="1" x14ac:dyDescent="0.3">
      <c r="B100" s="10" t="s">
        <v>143</v>
      </c>
      <c r="C100" s="11"/>
      <c r="D100" s="2"/>
      <c r="E100" s="2"/>
      <c r="F100" s="2"/>
      <c r="G100" s="2"/>
      <c r="H100" s="2"/>
      <c r="I100" s="2"/>
    </row>
    <row r="101" spans="2:9" ht="26.1" customHeight="1" x14ac:dyDescent="0.3">
      <c r="B101" s="121" t="s">
        <v>144</v>
      </c>
      <c r="C101" s="122"/>
      <c r="D101" s="2"/>
      <c r="E101" s="2"/>
      <c r="F101" s="2"/>
      <c r="G101" s="2"/>
      <c r="H101" s="2"/>
      <c r="I101" s="2"/>
    </row>
    <row r="102" spans="2:9" ht="27.95" customHeight="1" x14ac:dyDescent="0.3">
      <c r="B102" s="10" t="s">
        <v>145</v>
      </c>
      <c r="C102" s="11"/>
      <c r="D102" s="2"/>
      <c r="E102" s="2"/>
      <c r="F102" s="2"/>
      <c r="G102" s="2"/>
      <c r="H102" s="2"/>
      <c r="I102" s="2"/>
    </row>
    <row r="103" spans="2:9" ht="27.95" customHeight="1" x14ac:dyDescent="0.3">
      <c r="B103" s="10" t="s">
        <v>146</v>
      </c>
      <c r="C103" s="11"/>
      <c r="D103" s="2"/>
      <c r="E103" s="2"/>
      <c r="F103" s="2"/>
      <c r="G103" s="2"/>
      <c r="H103" s="2"/>
      <c r="I103" s="2"/>
    </row>
    <row r="104" spans="2:9" ht="27.95" customHeight="1" x14ac:dyDescent="0.3">
      <c r="B104" s="10" t="s">
        <v>147</v>
      </c>
      <c r="C104" s="11"/>
      <c r="D104" s="2"/>
      <c r="E104" s="2"/>
      <c r="F104" s="2"/>
      <c r="G104" s="2"/>
      <c r="H104" s="2"/>
      <c r="I104" s="2"/>
    </row>
    <row r="105" spans="2:9" ht="26.1" customHeight="1" x14ac:dyDescent="0.3">
      <c r="B105" s="121" t="s">
        <v>342</v>
      </c>
      <c r="C105" s="122"/>
      <c r="D105" s="2"/>
      <c r="E105" s="2"/>
      <c r="F105" s="2"/>
      <c r="G105" s="2"/>
      <c r="H105" s="2"/>
      <c r="I105" s="2"/>
    </row>
    <row r="106" spans="2:9" ht="27.95" customHeight="1" x14ac:dyDescent="0.3">
      <c r="B106" s="10" t="s">
        <v>46</v>
      </c>
      <c r="C106" s="11"/>
      <c r="D106" s="2"/>
      <c r="E106" s="2"/>
      <c r="F106" s="2"/>
      <c r="G106" s="2"/>
      <c r="H106" s="2"/>
      <c r="I106" s="2"/>
    </row>
    <row r="107" spans="2:9" ht="27.95" customHeight="1" x14ac:dyDescent="0.3">
      <c r="B107" s="10" t="s">
        <v>31</v>
      </c>
      <c r="C107" s="11"/>
      <c r="D107" s="2"/>
      <c r="E107" s="2"/>
      <c r="F107" s="2"/>
      <c r="G107" s="2"/>
      <c r="H107" s="2"/>
      <c r="I107" s="2"/>
    </row>
    <row r="108" spans="2:9" ht="27.95" customHeight="1" x14ac:dyDescent="0.3">
      <c r="B108" s="10" t="s">
        <v>149</v>
      </c>
      <c r="C108" s="11"/>
      <c r="D108" s="2"/>
      <c r="E108" s="2"/>
      <c r="F108" s="2"/>
      <c r="G108" s="2"/>
      <c r="H108" s="2"/>
      <c r="I108" s="2"/>
    </row>
    <row r="109" spans="2:9" ht="15.95" customHeight="1" thickBot="1" x14ac:dyDescent="0.35">
      <c r="B109" s="2"/>
      <c r="C109" s="2"/>
      <c r="D109" s="123" t="s">
        <v>210</v>
      </c>
      <c r="E109" s="125"/>
      <c r="F109" s="125"/>
      <c r="G109" s="125"/>
      <c r="H109" s="125"/>
      <c r="I109" s="125"/>
    </row>
    <row r="110" spans="2:9" ht="32.1" customHeight="1" thickBot="1" x14ac:dyDescent="0.35">
      <c r="B110" s="126" t="s">
        <v>152</v>
      </c>
      <c r="C110" s="127"/>
      <c r="D110" s="6">
        <v>1</v>
      </c>
      <c r="E110" s="6">
        <v>2</v>
      </c>
      <c r="F110" s="6">
        <v>3</v>
      </c>
      <c r="G110" s="5">
        <v>4</v>
      </c>
      <c r="H110" s="6">
        <v>5</v>
      </c>
      <c r="I110" s="7">
        <v>6</v>
      </c>
    </row>
    <row r="111" spans="2:9" ht="32.1" customHeight="1" x14ac:dyDescent="0.3">
      <c r="B111" s="33" t="s">
        <v>189</v>
      </c>
      <c r="C111" s="32" t="str">
        <f>'Form. Empresa'!C69</f>
        <v>TAP SOLAR</v>
      </c>
      <c r="D111" s="2"/>
      <c r="E111" s="2"/>
      <c r="F111" s="2"/>
      <c r="G111" s="2"/>
      <c r="H111" s="2"/>
      <c r="I111" s="2"/>
    </row>
    <row r="112" spans="2:9" ht="26.1" customHeight="1" x14ac:dyDescent="0.3">
      <c r="B112" s="121" t="s">
        <v>134</v>
      </c>
      <c r="C112" s="122"/>
      <c r="D112" s="2"/>
      <c r="E112" s="2"/>
      <c r="F112" s="2"/>
      <c r="G112" s="2"/>
      <c r="H112" s="2"/>
      <c r="I112" s="2"/>
    </row>
    <row r="113" spans="2:9" ht="27.95" customHeight="1" x14ac:dyDescent="0.3">
      <c r="B113" s="10" t="s">
        <v>89</v>
      </c>
      <c r="C113" s="11"/>
      <c r="D113" s="2"/>
      <c r="E113" s="2"/>
      <c r="F113" s="2"/>
      <c r="G113" s="2"/>
      <c r="H113" s="2"/>
      <c r="I113" s="2"/>
    </row>
    <row r="114" spans="2:9" ht="26.1" customHeight="1" x14ac:dyDescent="0.3">
      <c r="B114" s="121" t="s">
        <v>135</v>
      </c>
      <c r="C114" s="122"/>
      <c r="D114" s="2"/>
      <c r="E114" s="2"/>
      <c r="F114" s="2"/>
      <c r="G114" s="2"/>
      <c r="H114" s="2"/>
      <c r="I114" s="2"/>
    </row>
    <row r="115" spans="2:9" ht="27.95" customHeight="1" x14ac:dyDescent="0.3">
      <c r="B115" s="10" t="s">
        <v>29</v>
      </c>
      <c r="C115" s="11"/>
      <c r="D115" s="2"/>
      <c r="E115" s="2"/>
      <c r="F115" s="2"/>
      <c r="G115" s="2"/>
      <c r="H115" s="2"/>
      <c r="I115" s="2"/>
    </row>
    <row r="116" spans="2:9" ht="27.95" customHeight="1" x14ac:dyDescent="0.3">
      <c r="B116" s="10" t="s">
        <v>30</v>
      </c>
      <c r="C116" s="11"/>
      <c r="D116" s="2"/>
      <c r="E116" s="2"/>
      <c r="F116" s="2"/>
      <c r="G116" s="2"/>
      <c r="H116" s="2"/>
      <c r="I116" s="2"/>
    </row>
    <row r="117" spans="2:9" ht="26.1" customHeight="1" x14ac:dyDescent="0.3">
      <c r="B117" s="121" t="s">
        <v>136</v>
      </c>
      <c r="C117" s="122"/>
      <c r="D117" s="2"/>
      <c r="E117" s="2"/>
      <c r="F117" s="2"/>
      <c r="G117" s="2"/>
      <c r="H117" s="2"/>
      <c r="I117" s="2"/>
    </row>
    <row r="118" spans="2:9" ht="27.95" customHeight="1" x14ac:dyDescent="0.3">
      <c r="B118" s="10" t="s">
        <v>32</v>
      </c>
      <c r="C118" s="11"/>
      <c r="D118" s="2"/>
      <c r="E118" s="2"/>
      <c r="F118" s="2"/>
      <c r="G118" s="2"/>
      <c r="H118" s="2"/>
      <c r="I118" s="2"/>
    </row>
    <row r="119" spans="2:9" ht="27.95" customHeight="1" x14ac:dyDescent="0.3">
      <c r="B119" s="10" t="s">
        <v>34</v>
      </c>
      <c r="C119" s="11"/>
      <c r="D119" s="2"/>
      <c r="E119" s="2"/>
      <c r="F119" s="2"/>
      <c r="G119" s="2"/>
      <c r="H119" s="2"/>
      <c r="I119" s="2"/>
    </row>
    <row r="120" spans="2:9" ht="27.95" customHeight="1" x14ac:dyDescent="0.3">
      <c r="B120" s="10" t="s">
        <v>137</v>
      </c>
      <c r="C120" s="11"/>
      <c r="D120" s="2"/>
      <c r="E120" s="2"/>
      <c r="F120" s="2"/>
      <c r="G120" s="2"/>
      <c r="H120" s="2"/>
      <c r="I120" s="2"/>
    </row>
    <row r="121" spans="2:9" ht="27.95" customHeight="1" x14ac:dyDescent="0.3">
      <c r="B121" s="10" t="s">
        <v>37</v>
      </c>
      <c r="C121" s="11"/>
      <c r="D121" s="2"/>
      <c r="E121" s="2"/>
      <c r="F121" s="2"/>
      <c r="G121" s="2"/>
      <c r="H121" s="2"/>
      <c r="I121" s="2"/>
    </row>
    <row r="122" spans="2:9" ht="27.95" customHeight="1" x14ac:dyDescent="0.3">
      <c r="B122" s="10" t="s">
        <v>39</v>
      </c>
      <c r="C122" s="11"/>
      <c r="D122" s="2"/>
      <c r="E122" s="2"/>
      <c r="F122" s="2"/>
      <c r="G122" s="2"/>
      <c r="H122" s="2"/>
      <c r="I122" s="2"/>
    </row>
    <row r="123" spans="2:9" ht="27.95" customHeight="1" x14ac:dyDescent="0.3">
      <c r="B123" s="10" t="s">
        <v>41</v>
      </c>
      <c r="C123" s="11"/>
      <c r="D123" s="2"/>
      <c r="E123" s="2"/>
      <c r="F123" s="2"/>
      <c r="G123" s="2"/>
      <c r="H123" s="2"/>
      <c r="I123" s="2"/>
    </row>
    <row r="124" spans="2:9" ht="27.95" customHeight="1" x14ac:dyDescent="0.3">
      <c r="B124" s="10" t="s">
        <v>42</v>
      </c>
      <c r="C124" s="11"/>
      <c r="D124" s="2"/>
      <c r="E124" s="2"/>
      <c r="F124" s="2"/>
      <c r="G124" s="2"/>
      <c r="H124" s="2"/>
      <c r="I124" s="2"/>
    </row>
    <row r="125" spans="2:9" ht="27.95" customHeight="1" x14ac:dyDescent="0.3">
      <c r="B125" s="10" t="s">
        <v>44</v>
      </c>
      <c r="C125" s="11"/>
      <c r="D125" s="2"/>
      <c r="E125" s="2"/>
      <c r="F125" s="2"/>
      <c r="G125" s="2"/>
      <c r="H125" s="2"/>
      <c r="I125" s="2"/>
    </row>
    <row r="126" spans="2:9" ht="27.95" customHeight="1" x14ac:dyDescent="0.3">
      <c r="B126" s="10" t="s">
        <v>138</v>
      </c>
      <c r="C126" s="11"/>
      <c r="D126" s="2"/>
      <c r="E126" s="2"/>
      <c r="F126" s="2"/>
      <c r="G126" s="2"/>
      <c r="H126" s="2"/>
      <c r="I126" s="2"/>
    </row>
    <row r="127" spans="2:9" ht="26.1" customHeight="1" x14ac:dyDescent="0.3">
      <c r="B127" s="121" t="s">
        <v>139</v>
      </c>
      <c r="C127" s="122"/>
      <c r="D127" s="2"/>
      <c r="E127" s="2"/>
      <c r="F127" s="2"/>
      <c r="G127" s="2"/>
      <c r="H127" s="2"/>
      <c r="I127" s="2"/>
    </row>
    <row r="128" spans="2:9" ht="27.95" customHeight="1" x14ac:dyDescent="0.3">
      <c r="B128" s="10" t="s">
        <v>32</v>
      </c>
      <c r="C128" s="11"/>
      <c r="D128" s="2"/>
      <c r="E128" s="2"/>
      <c r="F128" s="2"/>
      <c r="G128" s="2"/>
      <c r="H128" s="2"/>
      <c r="I128" s="2"/>
    </row>
    <row r="129" spans="2:9" ht="27.95" customHeight="1" x14ac:dyDescent="0.3">
      <c r="B129" s="10" t="s">
        <v>34</v>
      </c>
      <c r="C129" s="11"/>
      <c r="D129" s="2"/>
      <c r="E129" s="2"/>
      <c r="F129" s="2"/>
      <c r="G129" s="2"/>
      <c r="H129" s="2"/>
      <c r="I129" s="2"/>
    </row>
    <row r="130" spans="2:9" ht="27.95" customHeight="1" x14ac:dyDescent="0.3">
      <c r="B130" s="10" t="s">
        <v>140</v>
      </c>
      <c r="C130" s="11"/>
      <c r="D130" s="2"/>
      <c r="E130" s="2"/>
      <c r="F130" s="2"/>
      <c r="G130" s="2"/>
      <c r="H130" s="2"/>
      <c r="I130" s="2"/>
    </row>
    <row r="131" spans="2:9" ht="27.95" customHeight="1" x14ac:dyDescent="0.3">
      <c r="B131" s="10" t="s">
        <v>42</v>
      </c>
      <c r="C131" s="11"/>
      <c r="D131" s="2"/>
      <c r="E131" s="2"/>
      <c r="F131" s="2"/>
      <c r="G131" s="2"/>
      <c r="H131" s="2"/>
      <c r="I131" s="2"/>
    </row>
    <row r="132" spans="2:9" ht="27.95" customHeight="1" x14ac:dyDescent="0.3">
      <c r="B132" s="10" t="s">
        <v>141</v>
      </c>
      <c r="C132" s="11"/>
      <c r="D132" s="2"/>
      <c r="E132" s="2"/>
      <c r="F132" s="2"/>
      <c r="G132" s="2"/>
      <c r="H132" s="2"/>
      <c r="I132" s="2"/>
    </row>
    <row r="133" spans="2:9" ht="26.1" customHeight="1" x14ac:dyDescent="0.3">
      <c r="B133" s="121" t="s">
        <v>142</v>
      </c>
      <c r="C133" s="122"/>
      <c r="D133" s="2"/>
      <c r="E133" s="2"/>
      <c r="F133" s="2"/>
      <c r="G133" s="2"/>
      <c r="H133" s="2"/>
      <c r="I133" s="2"/>
    </row>
    <row r="134" spans="2:9" ht="27.95" customHeight="1" x14ac:dyDescent="0.3">
      <c r="B134" s="10" t="s">
        <v>143</v>
      </c>
      <c r="C134" s="11"/>
      <c r="D134" s="2"/>
      <c r="E134" s="2"/>
      <c r="F134" s="2"/>
      <c r="G134" s="2"/>
      <c r="H134" s="2"/>
      <c r="I134" s="2"/>
    </row>
    <row r="135" spans="2:9" ht="26.1" customHeight="1" x14ac:dyDescent="0.3">
      <c r="B135" s="121" t="s">
        <v>144</v>
      </c>
      <c r="C135" s="122"/>
      <c r="D135" s="2"/>
      <c r="E135" s="2"/>
      <c r="F135" s="2"/>
      <c r="G135" s="2"/>
      <c r="H135" s="2"/>
      <c r="I135" s="2"/>
    </row>
    <row r="136" spans="2:9" ht="27.95" customHeight="1" x14ac:dyDescent="0.3">
      <c r="B136" s="10" t="s">
        <v>145</v>
      </c>
      <c r="C136" s="11"/>
      <c r="D136" s="2"/>
      <c r="E136" s="2"/>
      <c r="F136" s="2"/>
      <c r="G136" s="2"/>
      <c r="H136" s="2"/>
      <c r="I136" s="2"/>
    </row>
    <row r="137" spans="2:9" ht="27.95" customHeight="1" x14ac:dyDescent="0.3">
      <c r="B137" s="10" t="s">
        <v>146</v>
      </c>
      <c r="C137" s="11"/>
      <c r="D137" s="2"/>
      <c r="E137" s="2"/>
      <c r="F137" s="2"/>
      <c r="G137" s="2"/>
      <c r="H137" s="2"/>
      <c r="I137" s="2"/>
    </row>
    <row r="138" spans="2:9" ht="27.95" customHeight="1" x14ac:dyDescent="0.3">
      <c r="B138" s="10" t="s">
        <v>147</v>
      </c>
      <c r="C138" s="11"/>
      <c r="D138" s="2"/>
      <c r="E138" s="2"/>
      <c r="F138" s="2"/>
      <c r="G138" s="2"/>
      <c r="H138" s="2"/>
      <c r="I138" s="2"/>
    </row>
    <row r="139" spans="2:9" ht="26.1" customHeight="1" x14ac:dyDescent="0.3">
      <c r="B139" s="121" t="s">
        <v>342</v>
      </c>
      <c r="C139" s="122"/>
      <c r="D139" s="2"/>
      <c r="E139" s="2"/>
      <c r="F139" s="2"/>
      <c r="G139" s="2"/>
      <c r="H139" s="2"/>
      <c r="I139" s="2"/>
    </row>
    <row r="140" spans="2:9" ht="27.95" customHeight="1" x14ac:dyDescent="0.3">
      <c r="B140" s="10" t="s">
        <v>46</v>
      </c>
      <c r="C140" s="11"/>
      <c r="D140" s="2"/>
      <c r="E140" s="2"/>
      <c r="F140" s="2"/>
      <c r="G140" s="2"/>
      <c r="H140" s="2"/>
      <c r="I140" s="2"/>
    </row>
    <row r="141" spans="2:9" ht="27.95" customHeight="1" x14ac:dyDescent="0.3">
      <c r="B141" s="10" t="s">
        <v>31</v>
      </c>
      <c r="C141" s="11"/>
      <c r="D141" s="2"/>
      <c r="E141" s="2"/>
      <c r="F141" s="2"/>
      <c r="G141" s="2"/>
      <c r="H141" s="2"/>
      <c r="I141" s="2"/>
    </row>
    <row r="142" spans="2:9" ht="27.95" customHeight="1" x14ac:dyDescent="0.3">
      <c r="B142" s="10" t="s">
        <v>149</v>
      </c>
      <c r="C142" s="11"/>
      <c r="D142" s="2"/>
      <c r="E142" s="2"/>
      <c r="F142" s="2"/>
      <c r="G142" s="2"/>
      <c r="H142" s="2"/>
      <c r="I142" s="2"/>
    </row>
    <row r="143" spans="2:9" ht="15.95" customHeight="1" thickBot="1" x14ac:dyDescent="0.35">
      <c r="B143" s="2"/>
      <c r="C143" s="2"/>
      <c r="D143" s="123" t="s">
        <v>210</v>
      </c>
      <c r="E143" s="125"/>
      <c r="F143" s="125"/>
      <c r="G143" s="125"/>
      <c r="H143" s="125"/>
      <c r="I143" s="125"/>
    </row>
    <row r="144" spans="2:9" ht="32.1" customHeight="1" thickBot="1" x14ac:dyDescent="0.35">
      <c r="B144" s="126" t="s">
        <v>153</v>
      </c>
      <c r="C144" s="127"/>
      <c r="D144" s="6">
        <v>1</v>
      </c>
      <c r="E144" s="6">
        <v>2</v>
      </c>
      <c r="F144" s="6">
        <v>3</v>
      </c>
      <c r="G144" s="6">
        <v>4</v>
      </c>
      <c r="H144" s="5">
        <v>5</v>
      </c>
      <c r="I144" s="7">
        <v>6</v>
      </c>
    </row>
    <row r="145" spans="2:9" ht="32.1" customHeight="1" x14ac:dyDescent="0.3">
      <c r="B145" s="33" t="s">
        <v>189</v>
      </c>
      <c r="C145" s="32" t="str">
        <f>'Form. Empresa'!C89</f>
        <v>FOTOVOLTA EXPRESS</v>
      </c>
      <c r="D145" s="2"/>
      <c r="E145" s="2"/>
      <c r="F145" s="2"/>
      <c r="G145" s="2"/>
      <c r="H145" s="2"/>
      <c r="I145" s="2"/>
    </row>
    <row r="146" spans="2:9" ht="26.1" customHeight="1" x14ac:dyDescent="0.3">
      <c r="B146" s="121" t="s">
        <v>134</v>
      </c>
      <c r="C146" s="122"/>
      <c r="D146" s="2"/>
      <c r="E146" s="2"/>
      <c r="F146" s="2"/>
      <c r="G146" s="2"/>
      <c r="H146" s="2"/>
      <c r="I146" s="2"/>
    </row>
    <row r="147" spans="2:9" ht="27.95" customHeight="1" x14ac:dyDescent="0.3">
      <c r="B147" s="10" t="s">
        <v>89</v>
      </c>
      <c r="C147" s="11"/>
      <c r="D147" s="2"/>
      <c r="E147" s="2"/>
      <c r="F147" s="2"/>
      <c r="G147" s="2"/>
      <c r="H147" s="2"/>
      <c r="I147" s="2"/>
    </row>
    <row r="148" spans="2:9" ht="26.1" customHeight="1" x14ac:dyDescent="0.3">
      <c r="B148" s="121" t="s">
        <v>135</v>
      </c>
      <c r="C148" s="122"/>
      <c r="D148" s="2"/>
      <c r="E148" s="2"/>
      <c r="F148" s="2"/>
      <c r="G148" s="2"/>
      <c r="H148" s="2"/>
      <c r="I148" s="2"/>
    </row>
    <row r="149" spans="2:9" ht="27.95" customHeight="1" x14ac:dyDescent="0.3">
      <c r="B149" s="10" t="s">
        <v>29</v>
      </c>
      <c r="C149" s="11"/>
      <c r="D149" s="2"/>
      <c r="E149" s="2"/>
      <c r="F149" s="2"/>
      <c r="G149" s="2"/>
      <c r="H149" s="2"/>
      <c r="I149" s="2"/>
    </row>
    <row r="150" spans="2:9" ht="27.95" customHeight="1" x14ac:dyDescent="0.3">
      <c r="B150" s="10" t="s">
        <v>30</v>
      </c>
      <c r="C150" s="11"/>
      <c r="D150" s="2"/>
      <c r="E150" s="2"/>
      <c r="F150" s="2"/>
      <c r="G150" s="2"/>
      <c r="H150" s="2"/>
      <c r="I150" s="2"/>
    </row>
    <row r="151" spans="2:9" ht="26.1" customHeight="1" x14ac:dyDescent="0.3">
      <c r="B151" s="121" t="s">
        <v>136</v>
      </c>
      <c r="C151" s="122"/>
      <c r="D151" s="2"/>
      <c r="E151" s="2"/>
      <c r="F151" s="2"/>
      <c r="G151" s="2"/>
      <c r="H151" s="2"/>
      <c r="I151" s="2"/>
    </row>
    <row r="152" spans="2:9" ht="27.95" customHeight="1" x14ac:dyDescent="0.3">
      <c r="B152" s="10" t="s">
        <v>32</v>
      </c>
      <c r="C152" s="11"/>
      <c r="D152" s="2"/>
      <c r="E152" s="2"/>
      <c r="F152" s="2"/>
      <c r="G152" s="2"/>
      <c r="H152" s="2"/>
      <c r="I152" s="2"/>
    </row>
    <row r="153" spans="2:9" ht="27.95" customHeight="1" x14ac:dyDescent="0.3">
      <c r="B153" s="10" t="s">
        <v>34</v>
      </c>
      <c r="C153" s="11"/>
      <c r="D153" s="2"/>
      <c r="E153" s="2"/>
      <c r="F153" s="2"/>
      <c r="G153" s="2"/>
      <c r="H153" s="2"/>
      <c r="I153" s="2"/>
    </row>
    <row r="154" spans="2:9" ht="27.95" customHeight="1" x14ac:dyDescent="0.3">
      <c r="B154" s="10" t="s">
        <v>137</v>
      </c>
      <c r="C154" s="11"/>
      <c r="D154" s="2"/>
      <c r="E154" s="2"/>
      <c r="F154" s="2"/>
      <c r="G154" s="2"/>
      <c r="H154" s="2"/>
      <c r="I154" s="2"/>
    </row>
    <row r="155" spans="2:9" ht="27.95" customHeight="1" x14ac:dyDescent="0.3">
      <c r="B155" s="10" t="s">
        <v>37</v>
      </c>
      <c r="C155" s="11"/>
      <c r="D155" s="2"/>
      <c r="E155" s="2"/>
      <c r="F155" s="2"/>
      <c r="G155" s="2"/>
      <c r="H155" s="2"/>
      <c r="I155" s="2"/>
    </row>
    <row r="156" spans="2:9" ht="27.95" customHeight="1" x14ac:dyDescent="0.3">
      <c r="B156" s="10" t="s">
        <v>39</v>
      </c>
      <c r="C156" s="11"/>
      <c r="D156" s="2"/>
      <c r="E156" s="2"/>
      <c r="F156" s="2"/>
      <c r="G156" s="2"/>
      <c r="H156" s="2"/>
      <c r="I156" s="2"/>
    </row>
    <row r="157" spans="2:9" ht="27.95" customHeight="1" x14ac:dyDescent="0.3">
      <c r="B157" s="10" t="s">
        <v>41</v>
      </c>
      <c r="C157" s="11"/>
      <c r="D157" s="2"/>
      <c r="E157" s="2"/>
      <c r="F157" s="2"/>
      <c r="G157" s="2"/>
      <c r="H157" s="2"/>
      <c r="I157" s="2"/>
    </row>
    <row r="158" spans="2:9" ht="27.95" customHeight="1" x14ac:dyDescent="0.3">
      <c r="B158" s="10" t="s">
        <v>42</v>
      </c>
      <c r="C158" s="11"/>
      <c r="D158" s="2"/>
      <c r="E158" s="2"/>
      <c r="F158" s="2"/>
      <c r="G158" s="2"/>
      <c r="H158" s="2"/>
      <c r="I158" s="2"/>
    </row>
    <row r="159" spans="2:9" ht="27.95" customHeight="1" x14ac:dyDescent="0.3">
      <c r="B159" s="10" t="s">
        <v>44</v>
      </c>
      <c r="C159" s="11"/>
      <c r="D159" s="2"/>
      <c r="E159" s="2"/>
      <c r="F159" s="2"/>
      <c r="G159" s="2"/>
      <c r="H159" s="2"/>
      <c r="I159" s="2"/>
    </row>
    <row r="160" spans="2:9" ht="27.95" customHeight="1" x14ac:dyDescent="0.3">
      <c r="B160" s="10" t="s">
        <v>138</v>
      </c>
      <c r="C160" s="11"/>
      <c r="D160" s="2"/>
      <c r="E160" s="2"/>
      <c r="F160" s="2"/>
      <c r="G160" s="2"/>
      <c r="H160" s="2"/>
      <c r="I160" s="2"/>
    </row>
    <row r="161" spans="2:9" ht="26.1" customHeight="1" x14ac:dyDescent="0.3">
      <c r="B161" s="121" t="s">
        <v>139</v>
      </c>
      <c r="C161" s="122"/>
      <c r="D161" s="2"/>
      <c r="E161" s="2"/>
      <c r="F161" s="2"/>
      <c r="G161" s="2"/>
      <c r="H161" s="2"/>
      <c r="I161" s="2"/>
    </row>
    <row r="162" spans="2:9" ht="27.95" customHeight="1" x14ac:dyDescent="0.3">
      <c r="B162" s="10" t="s">
        <v>32</v>
      </c>
      <c r="C162" s="11"/>
      <c r="D162" s="2"/>
      <c r="E162" s="2"/>
      <c r="F162" s="2"/>
      <c r="G162" s="2"/>
      <c r="H162" s="2"/>
      <c r="I162" s="2"/>
    </row>
    <row r="163" spans="2:9" ht="27.95" customHeight="1" x14ac:dyDescent="0.3">
      <c r="B163" s="10" t="s">
        <v>34</v>
      </c>
      <c r="C163" s="11"/>
      <c r="D163" s="2"/>
      <c r="E163" s="2"/>
      <c r="F163" s="2"/>
      <c r="G163" s="2"/>
      <c r="H163" s="2"/>
      <c r="I163" s="2"/>
    </row>
    <row r="164" spans="2:9" ht="27.95" customHeight="1" x14ac:dyDescent="0.3">
      <c r="B164" s="10" t="s">
        <v>140</v>
      </c>
      <c r="C164" s="11"/>
      <c r="D164" s="2"/>
      <c r="E164" s="2"/>
      <c r="F164" s="2"/>
      <c r="G164" s="2"/>
      <c r="H164" s="2"/>
      <c r="I164" s="2"/>
    </row>
    <row r="165" spans="2:9" ht="27.95" customHeight="1" x14ac:dyDescent="0.3">
      <c r="B165" s="10" t="s">
        <v>42</v>
      </c>
      <c r="C165" s="11"/>
      <c r="D165" s="2"/>
      <c r="E165" s="2"/>
      <c r="F165" s="2"/>
      <c r="G165" s="2"/>
      <c r="H165" s="2"/>
      <c r="I165" s="2"/>
    </row>
    <row r="166" spans="2:9" ht="27.95" customHeight="1" x14ac:dyDescent="0.3">
      <c r="B166" s="10" t="s">
        <v>141</v>
      </c>
      <c r="C166" s="11"/>
      <c r="D166" s="2"/>
      <c r="E166" s="2"/>
      <c r="F166" s="2"/>
      <c r="G166" s="2"/>
      <c r="H166" s="2"/>
      <c r="I166" s="2"/>
    </row>
    <row r="167" spans="2:9" ht="26.1" customHeight="1" x14ac:dyDescent="0.3">
      <c r="B167" s="121" t="s">
        <v>142</v>
      </c>
      <c r="C167" s="122"/>
      <c r="D167" s="2"/>
      <c r="E167" s="2"/>
      <c r="F167" s="2"/>
      <c r="G167" s="2"/>
      <c r="H167" s="2"/>
      <c r="I167" s="2"/>
    </row>
    <row r="168" spans="2:9" ht="27.95" customHeight="1" x14ac:dyDescent="0.3">
      <c r="B168" s="10" t="s">
        <v>143</v>
      </c>
      <c r="C168" s="11"/>
      <c r="D168" s="2"/>
      <c r="E168" s="2"/>
      <c r="F168" s="2"/>
      <c r="G168" s="2"/>
      <c r="H168" s="2"/>
      <c r="I168" s="2"/>
    </row>
    <row r="169" spans="2:9" ht="26.1" customHeight="1" x14ac:dyDescent="0.3">
      <c r="B169" s="121" t="s">
        <v>144</v>
      </c>
      <c r="C169" s="122"/>
      <c r="D169" s="2"/>
      <c r="E169" s="2"/>
      <c r="F169" s="2"/>
      <c r="G169" s="2"/>
      <c r="H169" s="2"/>
      <c r="I169" s="2"/>
    </row>
    <row r="170" spans="2:9" ht="27.95" customHeight="1" x14ac:dyDescent="0.3">
      <c r="B170" s="10" t="s">
        <v>145</v>
      </c>
      <c r="C170" s="11"/>
      <c r="D170" s="2"/>
      <c r="E170" s="2"/>
      <c r="F170" s="2"/>
      <c r="G170" s="2"/>
      <c r="H170" s="2"/>
      <c r="I170" s="2"/>
    </row>
    <row r="171" spans="2:9" ht="27.95" customHeight="1" x14ac:dyDescent="0.3">
      <c r="B171" s="10" t="s">
        <v>146</v>
      </c>
      <c r="C171" s="11"/>
      <c r="D171" s="2"/>
      <c r="E171" s="2"/>
      <c r="F171" s="2"/>
      <c r="G171" s="2"/>
      <c r="H171" s="2"/>
      <c r="I171" s="2"/>
    </row>
    <row r="172" spans="2:9" ht="27.95" customHeight="1" x14ac:dyDescent="0.3">
      <c r="B172" s="10" t="s">
        <v>147</v>
      </c>
      <c r="C172" s="11"/>
      <c r="D172" s="2"/>
      <c r="E172" s="2"/>
      <c r="F172" s="2"/>
      <c r="G172" s="2"/>
      <c r="H172" s="2"/>
      <c r="I172" s="2"/>
    </row>
    <row r="173" spans="2:9" ht="26.1" customHeight="1" x14ac:dyDescent="0.3">
      <c r="B173" s="121" t="s">
        <v>342</v>
      </c>
      <c r="C173" s="122"/>
      <c r="D173" s="2"/>
      <c r="E173" s="2"/>
      <c r="F173" s="2"/>
      <c r="G173" s="2"/>
      <c r="H173" s="2"/>
      <c r="I173" s="2"/>
    </row>
    <row r="174" spans="2:9" ht="27.95" customHeight="1" x14ac:dyDescent="0.3">
      <c r="B174" s="10" t="s">
        <v>46</v>
      </c>
      <c r="C174" s="11"/>
      <c r="D174" s="2"/>
      <c r="E174" s="2"/>
      <c r="F174" s="2"/>
      <c r="G174" s="2"/>
      <c r="H174" s="2"/>
      <c r="I174" s="2"/>
    </row>
    <row r="175" spans="2:9" ht="27.95" customHeight="1" x14ac:dyDescent="0.3">
      <c r="B175" s="10" t="s">
        <v>31</v>
      </c>
      <c r="C175" s="11"/>
      <c r="D175" s="2"/>
      <c r="E175" s="2"/>
      <c r="F175" s="2"/>
      <c r="G175" s="2"/>
      <c r="H175" s="2"/>
      <c r="I175" s="2"/>
    </row>
    <row r="176" spans="2:9" ht="27.95" customHeight="1" x14ac:dyDescent="0.3">
      <c r="B176" s="10" t="s">
        <v>149</v>
      </c>
      <c r="C176" s="11"/>
      <c r="D176" s="2"/>
      <c r="E176" s="2"/>
      <c r="F176" s="2"/>
      <c r="G176" s="2"/>
      <c r="H176" s="2"/>
      <c r="I176" s="2"/>
    </row>
    <row r="177" spans="2:9" ht="15.95" customHeight="1" thickBot="1" x14ac:dyDescent="0.35">
      <c r="B177" s="2"/>
      <c r="C177" s="2"/>
      <c r="D177" s="123" t="s">
        <v>210</v>
      </c>
      <c r="E177" s="125"/>
      <c r="F177" s="125"/>
      <c r="G177" s="125"/>
      <c r="H177" s="125"/>
      <c r="I177" s="125"/>
    </row>
    <row r="178" spans="2:9" ht="32.1" customHeight="1" thickBot="1" x14ac:dyDescent="0.35">
      <c r="B178" s="126" t="s">
        <v>154</v>
      </c>
      <c r="C178" s="127"/>
      <c r="D178" s="6">
        <v>1</v>
      </c>
      <c r="E178" s="6">
        <v>2</v>
      </c>
      <c r="F178" s="6">
        <v>3</v>
      </c>
      <c r="G178" s="6">
        <v>4</v>
      </c>
      <c r="H178" s="6">
        <v>5</v>
      </c>
      <c r="I178" s="12">
        <v>6</v>
      </c>
    </row>
    <row r="179" spans="2:9" ht="32.1" customHeight="1" x14ac:dyDescent="0.3">
      <c r="B179" s="33" t="s">
        <v>189</v>
      </c>
      <c r="C179" s="32" t="str">
        <f>'Form. Empresa'!C109</f>
        <v>SELF SOLAR</v>
      </c>
      <c r="D179" s="2"/>
      <c r="E179" s="2"/>
      <c r="F179" s="2"/>
      <c r="G179" s="2"/>
      <c r="H179" s="2"/>
      <c r="I179" s="2"/>
    </row>
    <row r="180" spans="2:9" ht="26.1" customHeight="1" x14ac:dyDescent="0.3">
      <c r="B180" s="121" t="s">
        <v>134</v>
      </c>
      <c r="C180" s="122"/>
      <c r="D180" s="2"/>
      <c r="E180" s="2"/>
      <c r="F180" s="2"/>
      <c r="G180" s="2"/>
      <c r="H180" s="2"/>
      <c r="I180" s="2"/>
    </row>
    <row r="181" spans="2:9" ht="27.95" customHeight="1" x14ac:dyDescent="0.3">
      <c r="B181" s="10" t="s">
        <v>89</v>
      </c>
      <c r="C181" s="11"/>
      <c r="D181" s="2"/>
      <c r="E181" s="2"/>
      <c r="F181" s="2"/>
      <c r="G181" s="2"/>
      <c r="H181" s="2"/>
      <c r="I181" s="2"/>
    </row>
    <row r="182" spans="2:9" ht="26.1" customHeight="1" x14ac:dyDescent="0.3">
      <c r="B182" s="121" t="s">
        <v>135</v>
      </c>
      <c r="C182" s="122"/>
      <c r="D182" s="2"/>
      <c r="E182" s="2"/>
      <c r="F182" s="2"/>
      <c r="G182" s="2"/>
      <c r="H182" s="2"/>
      <c r="I182" s="2"/>
    </row>
    <row r="183" spans="2:9" ht="27.95" customHeight="1" x14ac:dyDescent="0.3">
      <c r="B183" s="10" t="s">
        <v>29</v>
      </c>
      <c r="C183" s="11"/>
      <c r="D183" s="2"/>
      <c r="E183" s="2"/>
      <c r="F183" s="2"/>
      <c r="G183" s="2"/>
      <c r="H183" s="2"/>
      <c r="I183" s="2"/>
    </row>
    <row r="184" spans="2:9" ht="27.95" customHeight="1" x14ac:dyDescent="0.3">
      <c r="B184" s="10" t="s">
        <v>30</v>
      </c>
      <c r="C184" s="11"/>
      <c r="D184" s="2"/>
      <c r="E184" s="2"/>
      <c r="F184" s="2"/>
      <c r="G184" s="2"/>
      <c r="H184" s="2"/>
      <c r="I184" s="2"/>
    </row>
    <row r="185" spans="2:9" ht="26.1" customHeight="1" x14ac:dyDescent="0.3">
      <c r="B185" s="121" t="s">
        <v>136</v>
      </c>
      <c r="C185" s="122"/>
      <c r="D185" s="2"/>
      <c r="E185" s="2"/>
      <c r="F185" s="2"/>
      <c r="G185" s="2"/>
      <c r="H185" s="2"/>
      <c r="I185" s="2"/>
    </row>
    <row r="186" spans="2:9" ht="27.95" customHeight="1" x14ac:dyDescent="0.3">
      <c r="B186" s="10" t="s">
        <v>32</v>
      </c>
      <c r="C186" s="11"/>
      <c r="D186" s="2"/>
      <c r="E186" s="2"/>
      <c r="F186" s="2"/>
      <c r="G186" s="2"/>
      <c r="H186" s="2"/>
      <c r="I186" s="2"/>
    </row>
    <row r="187" spans="2:9" ht="27.95" customHeight="1" x14ac:dyDescent="0.3">
      <c r="B187" s="10" t="s">
        <v>34</v>
      </c>
      <c r="C187" s="11"/>
      <c r="D187" s="2"/>
      <c r="E187" s="2"/>
      <c r="F187" s="2"/>
      <c r="G187" s="2"/>
      <c r="H187" s="2"/>
      <c r="I187" s="2"/>
    </row>
    <row r="188" spans="2:9" ht="27.95" customHeight="1" x14ac:dyDescent="0.3">
      <c r="B188" s="10" t="s">
        <v>137</v>
      </c>
      <c r="C188" s="11"/>
      <c r="D188" s="2"/>
      <c r="E188" s="2"/>
      <c r="F188" s="2"/>
      <c r="G188" s="2"/>
      <c r="H188" s="2"/>
      <c r="I188" s="2"/>
    </row>
    <row r="189" spans="2:9" ht="27.95" customHeight="1" x14ac:dyDescent="0.3">
      <c r="B189" s="10" t="s">
        <v>37</v>
      </c>
      <c r="C189" s="11"/>
      <c r="D189" s="2"/>
      <c r="E189" s="2"/>
      <c r="F189" s="2"/>
      <c r="G189" s="2"/>
      <c r="H189" s="2"/>
      <c r="I189" s="2"/>
    </row>
    <row r="190" spans="2:9" ht="27.95" customHeight="1" x14ac:dyDescent="0.3">
      <c r="B190" s="10" t="s">
        <v>39</v>
      </c>
      <c r="C190" s="11"/>
      <c r="D190" s="2"/>
      <c r="E190" s="2"/>
      <c r="F190" s="2"/>
      <c r="G190" s="2"/>
      <c r="H190" s="2"/>
      <c r="I190" s="2"/>
    </row>
    <row r="191" spans="2:9" ht="27.95" customHeight="1" x14ac:dyDescent="0.3">
      <c r="B191" s="10" t="s">
        <v>41</v>
      </c>
      <c r="C191" s="11"/>
      <c r="D191" s="2"/>
      <c r="E191" s="2"/>
      <c r="F191" s="2"/>
      <c r="G191" s="2"/>
      <c r="H191" s="2"/>
      <c r="I191" s="2"/>
    </row>
    <row r="192" spans="2:9" ht="27.95" customHeight="1" x14ac:dyDescent="0.3">
      <c r="B192" s="10" t="s">
        <v>42</v>
      </c>
      <c r="C192" s="11"/>
      <c r="D192" s="2"/>
      <c r="E192" s="2"/>
      <c r="F192" s="2"/>
      <c r="G192" s="2"/>
      <c r="H192" s="2"/>
      <c r="I192" s="2"/>
    </row>
    <row r="193" spans="2:9" ht="27.95" customHeight="1" x14ac:dyDescent="0.3">
      <c r="B193" s="10" t="s">
        <v>44</v>
      </c>
      <c r="C193" s="11"/>
      <c r="D193" s="2"/>
      <c r="E193" s="2"/>
      <c r="F193" s="2"/>
      <c r="G193" s="2"/>
      <c r="H193" s="2"/>
      <c r="I193" s="2"/>
    </row>
    <row r="194" spans="2:9" ht="27.95" customHeight="1" x14ac:dyDescent="0.3">
      <c r="B194" s="10" t="s">
        <v>138</v>
      </c>
      <c r="C194" s="11"/>
      <c r="D194" s="2"/>
      <c r="E194" s="2"/>
      <c r="F194" s="2"/>
      <c r="G194" s="2"/>
      <c r="H194" s="2"/>
      <c r="I194" s="2"/>
    </row>
    <row r="195" spans="2:9" ht="26.1" customHeight="1" x14ac:dyDescent="0.3">
      <c r="B195" s="121" t="s">
        <v>139</v>
      </c>
      <c r="C195" s="122"/>
      <c r="D195" s="2"/>
      <c r="E195" s="2"/>
      <c r="F195" s="2"/>
      <c r="G195" s="2"/>
      <c r="H195" s="2"/>
      <c r="I195" s="2"/>
    </row>
    <row r="196" spans="2:9" ht="27.95" customHeight="1" x14ac:dyDescent="0.3">
      <c r="B196" s="10" t="s">
        <v>32</v>
      </c>
      <c r="C196" s="11"/>
      <c r="D196" s="2"/>
      <c r="E196" s="2"/>
      <c r="F196" s="2"/>
      <c r="G196" s="2"/>
      <c r="H196" s="2"/>
      <c r="I196" s="2"/>
    </row>
    <row r="197" spans="2:9" ht="27.95" customHeight="1" x14ac:dyDescent="0.3">
      <c r="B197" s="10" t="s">
        <v>34</v>
      </c>
      <c r="C197" s="11"/>
      <c r="D197" s="2"/>
      <c r="E197" s="2"/>
      <c r="F197" s="2"/>
      <c r="G197" s="2"/>
      <c r="H197" s="2"/>
      <c r="I197" s="2"/>
    </row>
    <row r="198" spans="2:9" ht="27.95" customHeight="1" x14ac:dyDescent="0.3">
      <c r="B198" s="10" t="s">
        <v>140</v>
      </c>
      <c r="C198" s="11"/>
      <c r="D198" s="2"/>
      <c r="E198" s="2"/>
      <c r="F198" s="2"/>
      <c r="G198" s="2"/>
      <c r="H198" s="2"/>
      <c r="I198" s="2"/>
    </row>
    <row r="199" spans="2:9" ht="27.95" customHeight="1" x14ac:dyDescent="0.3">
      <c r="B199" s="10" t="s">
        <v>42</v>
      </c>
      <c r="C199" s="11"/>
      <c r="D199" s="2"/>
      <c r="E199" s="2"/>
      <c r="F199" s="2"/>
      <c r="G199" s="2"/>
      <c r="H199" s="2"/>
      <c r="I199" s="2"/>
    </row>
    <row r="200" spans="2:9" ht="27.95" customHeight="1" x14ac:dyDescent="0.3">
      <c r="B200" s="10" t="s">
        <v>141</v>
      </c>
      <c r="C200" s="11"/>
      <c r="D200" s="2"/>
      <c r="E200" s="2"/>
      <c r="F200" s="2"/>
      <c r="G200" s="2"/>
      <c r="H200" s="2"/>
      <c r="I200" s="2"/>
    </row>
    <row r="201" spans="2:9" ht="26.1" customHeight="1" x14ac:dyDescent="0.3">
      <c r="B201" s="121" t="s">
        <v>142</v>
      </c>
      <c r="C201" s="122"/>
      <c r="D201" s="2"/>
      <c r="E201" s="2"/>
      <c r="F201" s="2"/>
      <c r="G201" s="2"/>
      <c r="H201" s="2"/>
      <c r="I201" s="2"/>
    </row>
    <row r="202" spans="2:9" ht="27.95" customHeight="1" x14ac:dyDescent="0.3">
      <c r="B202" s="10" t="s">
        <v>143</v>
      </c>
      <c r="C202" s="11"/>
      <c r="D202" s="2"/>
      <c r="E202" s="2"/>
      <c r="F202" s="2"/>
      <c r="G202" s="2"/>
      <c r="H202" s="2"/>
      <c r="I202" s="2"/>
    </row>
    <row r="203" spans="2:9" ht="26.1" customHeight="1" x14ac:dyDescent="0.3">
      <c r="B203" s="121" t="s">
        <v>144</v>
      </c>
      <c r="C203" s="122"/>
      <c r="D203" s="2"/>
      <c r="E203" s="2"/>
      <c r="F203" s="2"/>
      <c r="G203" s="2"/>
      <c r="H203" s="2"/>
      <c r="I203" s="2"/>
    </row>
    <row r="204" spans="2:9" ht="27.95" customHeight="1" x14ac:dyDescent="0.3">
      <c r="B204" s="10" t="s">
        <v>145</v>
      </c>
      <c r="C204" s="11"/>
      <c r="D204" s="2"/>
      <c r="E204" s="2"/>
      <c r="F204" s="2"/>
      <c r="G204" s="2"/>
      <c r="H204" s="2"/>
      <c r="I204" s="2"/>
    </row>
    <row r="205" spans="2:9" ht="27.95" customHeight="1" x14ac:dyDescent="0.3">
      <c r="B205" s="10" t="s">
        <v>146</v>
      </c>
      <c r="C205" s="11"/>
      <c r="D205" s="2"/>
      <c r="E205" s="2"/>
      <c r="F205" s="2"/>
      <c r="G205" s="2"/>
      <c r="H205" s="2"/>
      <c r="I205" s="2"/>
    </row>
    <row r="206" spans="2:9" ht="27.95" customHeight="1" x14ac:dyDescent="0.3">
      <c r="B206" s="10" t="s">
        <v>147</v>
      </c>
      <c r="C206" s="11"/>
      <c r="D206" s="2"/>
      <c r="E206" s="2"/>
      <c r="F206" s="2"/>
      <c r="G206" s="2"/>
      <c r="H206" s="2"/>
      <c r="I206" s="2"/>
    </row>
    <row r="207" spans="2:9" ht="26.1" customHeight="1" x14ac:dyDescent="0.3">
      <c r="B207" s="121" t="s">
        <v>148</v>
      </c>
      <c r="C207" s="122"/>
      <c r="D207" s="2"/>
      <c r="E207" s="2"/>
      <c r="F207" s="2"/>
      <c r="G207" s="2"/>
      <c r="H207" s="2"/>
      <c r="I207" s="2"/>
    </row>
    <row r="208" spans="2:9" ht="27.95" customHeight="1" x14ac:dyDescent="0.3">
      <c r="B208" s="10" t="s">
        <v>46</v>
      </c>
      <c r="C208" s="11"/>
      <c r="D208" s="2"/>
      <c r="E208" s="2"/>
      <c r="F208" s="2"/>
      <c r="G208" s="2"/>
      <c r="H208" s="2"/>
      <c r="I208" s="2"/>
    </row>
    <row r="209" spans="1:9" ht="27.95" customHeight="1" x14ac:dyDescent="0.3">
      <c r="B209" s="10" t="s">
        <v>31</v>
      </c>
      <c r="C209" s="11"/>
      <c r="D209" s="2"/>
      <c r="E209" s="2"/>
      <c r="F209" s="2"/>
      <c r="G209" s="2"/>
      <c r="H209" s="2"/>
      <c r="I209" s="2"/>
    </row>
    <row r="210" spans="1:9" ht="27.95" customHeight="1" x14ac:dyDescent="0.3">
      <c r="B210" s="10" t="s">
        <v>149</v>
      </c>
      <c r="C210" s="11"/>
      <c r="D210" s="2"/>
      <c r="E210" s="2"/>
      <c r="F210" s="2"/>
      <c r="G210" s="2"/>
      <c r="H210" s="2"/>
      <c r="I210" s="2"/>
    </row>
    <row r="211" spans="1:9" ht="18" customHeight="1" x14ac:dyDescent="0.25"/>
    <row r="212" spans="1:9" x14ac:dyDescent="0.25">
      <c r="A212" s="93" t="s">
        <v>341</v>
      </c>
    </row>
    <row r="213" spans="1:9" x14ac:dyDescent="0.25">
      <c r="A213" s="93" t="s">
        <v>340</v>
      </c>
    </row>
  </sheetData>
  <sheetProtection sheet="1" objects="1" scenarios="1"/>
  <mergeCells count="56">
    <mergeCell ref="B15:C15"/>
    <mergeCell ref="B2:C2"/>
    <mergeCell ref="B3:C3"/>
    <mergeCell ref="B8:C8"/>
    <mergeCell ref="B10:C10"/>
    <mergeCell ref="B12:C12"/>
    <mergeCell ref="B71:C71"/>
    <mergeCell ref="B25:C25"/>
    <mergeCell ref="B31:C31"/>
    <mergeCell ref="B33:C33"/>
    <mergeCell ref="B37:C37"/>
    <mergeCell ref="B42:C42"/>
    <mergeCell ref="B44:C44"/>
    <mergeCell ref="B46:C46"/>
    <mergeCell ref="B49:C49"/>
    <mergeCell ref="B59:C59"/>
    <mergeCell ref="B65:C65"/>
    <mergeCell ref="B67:C67"/>
    <mergeCell ref="B117:C117"/>
    <mergeCell ref="B76:C76"/>
    <mergeCell ref="B78:C78"/>
    <mergeCell ref="B80:C80"/>
    <mergeCell ref="B83:C83"/>
    <mergeCell ref="B93:C93"/>
    <mergeCell ref="B99:C99"/>
    <mergeCell ref="B101:C101"/>
    <mergeCell ref="B105:C105"/>
    <mergeCell ref="B110:C110"/>
    <mergeCell ref="B112:C112"/>
    <mergeCell ref="B114:C114"/>
    <mergeCell ref="B161:C161"/>
    <mergeCell ref="B167:C167"/>
    <mergeCell ref="B169:C169"/>
    <mergeCell ref="B173:C173"/>
    <mergeCell ref="B127:C127"/>
    <mergeCell ref="B133:C133"/>
    <mergeCell ref="B135:C135"/>
    <mergeCell ref="B139:C139"/>
    <mergeCell ref="B144:C144"/>
    <mergeCell ref="B146:C146"/>
    <mergeCell ref="B203:C203"/>
    <mergeCell ref="B207:C207"/>
    <mergeCell ref="D7:I7"/>
    <mergeCell ref="D41:I41"/>
    <mergeCell ref="D75:I75"/>
    <mergeCell ref="D109:I109"/>
    <mergeCell ref="D143:I143"/>
    <mergeCell ref="D177:I177"/>
    <mergeCell ref="B178:C178"/>
    <mergeCell ref="B180:C180"/>
    <mergeCell ref="B182:C182"/>
    <mergeCell ref="B185:C185"/>
    <mergeCell ref="B195:C195"/>
    <mergeCell ref="B201:C201"/>
    <mergeCell ref="B148:C148"/>
    <mergeCell ref="B151:C151"/>
  </mergeCells>
  <dataValidations count="1">
    <dataValidation type="list" allowBlank="1" showInputMessage="1" showErrorMessage="1" sqref="C38 C39 C40 C72 C73 C74 C106 C107 C108 C140 C141 C142 C174 C175 C176 C208 C209 C210" xr:uid="{FB00B32F-FA71-483D-AEDA-E579ACC3CAFC}">
      <formula1>"Sim,Não,Não sei"</formula1>
    </dataValidation>
  </dataValidations>
  <hyperlinks>
    <hyperlink ref="B5" location="'Form. Empresa'!A1" display="← Anterior: 🏢 PASSO 1" xr:uid="{C52B73FF-8A67-434E-8FE4-E0A6A67DA49A}"/>
    <hyperlink ref="C5" location="'Form. Financeiro'!A1" display="Próximo: 💰 PASSO 3 →" xr:uid="{BE076B06-93A4-4029-B5DE-75D6C9BCA7F5}"/>
    <hyperlink ref="E8" location="'Form. Tecnológico'!B75" tooltip="Ir para Empresa 2" display="2" xr:uid="{5A480138-004E-49F3-A1DC-87D3E37C74AB}"/>
    <hyperlink ref="F8" location="'Form. Tecnológico'!B109" tooltip="Ir para Empresa 3" display="3" xr:uid="{419AF106-8BD8-45AD-86B9-190B40AE8312}"/>
    <hyperlink ref="G8" location="'Form. Tecnológico'!B143" tooltip="Ir para Empresa 4" display="4" xr:uid="{8DA5690C-13EF-454F-BB97-60FA81F2D8C5}"/>
    <hyperlink ref="H8" location="'Form. Tecnológico'!B177" tooltip="Ir para Empresa 5" display="5" xr:uid="{B6B008BA-A3A0-4937-B15D-19956497C38E}"/>
    <hyperlink ref="I8" location="'Form. Tecnológico'!B211" tooltip="Ir para Empresa 6" display="6" xr:uid="{9B9F2DFE-0E59-412B-B2A6-52A8079B82D7}"/>
    <hyperlink ref="D42" location="'Form. Tecnológico'!B41" tooltip="Ir para Empresa 1" display="1" xr:uid="{07224A3D-E5FF-4D20-8C8E-6F1E138747E2}"/>
    <hyperlink ref="F42" location="'Form. Tecnológico'!B109" tooltip="Ir para Empresa 3" display="3" xr:uid="{F3E15835-8184-40A7-816C-8DE6DC819668}"/>
    <hyperlink ref="G42" location="'Form. Tecnológico'!B143" tooltip="Ir para Empresa 4" display="4" xr:uid="{C323FF55-30CC-4DC6-8202-95647483F70D}"/>
    <hyperlink ref="H42" location="'Form. Tecnológico'!B177" tooltip="Ir para Empresa 5" display="5" xr:uid="{8E9B7798-33A4-40BB-8F38-A41600810CEB}"/>
    <hyperlink ref="I42" location="'Form. Tecnológico'!B211" tooltip="Ir para Empresa 6" display="6" xr:uid="{AB91ACFA-D41D-4839-B0D5-99798A12F3F5}"/>
    <hyperlink ref="D76" location="'Form. Tecnológico'!B41" tooltip="Ir para Empresa 1" display="1" xr:uid="{1C22533F-3696-4827-B50B-1AE499A5FDED}"/>
    <hyperlink ref="E76" location="'Form. Tecnológico'!B75" tooltip="Ir para Empresa 2" display="2" xr:uid="{7D896D5F-DB4C-4183-950A-B3AF2C96E596}"/>
    <hyperlink ref="G76" location="'Form. Tecnológico'!B143" tooltip="Ir para Empresa 4" display="4" xr:uid="{025AA622-B11C-4234-90A6-FEAB34DDE377}"/>
    <hyperlink ref="H76" location="'Form. Tecnológico'!B177" tooltip="Ir para Empresa 5" display="5" xr:uid="{EE6E6290-E5A6-4F3A-9877-63C40A2CA305}"/>
    <hyperlink ref="I76" location="'Form. Tecnológico'!B211" tooltip="Ir para Empresa 6" display="6" xr:uid="{C0892DB2-FD38-4AF1-81AC-01A64CBDC5DB}"/>
    <hyperlink ref="D110" location="'Form. Tecnológico'!B41" tooltip="Ir para Empresa 1" display="1" xr:uid="{F2E7821B-92CA-4712-BBB1-E2E9DFA27F2C}"/>
    <hyperlink ref="E110" location="'Form. Tecnológico'!B75" tooltip="Ir para Empresa 2" display="2" xr:uid="{159906F0-B7CE-40CA-8EA7-9FFF325EBCC7}"/>
    <hyperlink ref="F110" location="'Form. Tecnológico'!B109" tooltip="Ir para Empresa 3" display="3" xr:uid="{218DDEE4-D037-4447-A250-7AE8319A2FD8}"/>
    <hyperlink ref="H110" location="'Form. Tecnológico'!B177" tooltip="Ir para Empresa 5" display="5" xr:uid="{8A6D9EC1-84FC-4D99-92CE-1DB17CBB9A24}"/>
    <hyperlink ref="I110" location="'Form. Tecnológico'!B211" tooltip="Ir para Empresa 6" display="6" xr:uid="{F77FA2E2-1EC4-4251-881B-22283EFA95B0}"/>
    <hyperlink ref="D144" location="'Form. Tecnológico'!B41" tooltip="Ir para Empresa 1" display="1" xr:uid="{EC41C6BE-4B3C-4B09-B6A5-B5F782349E9C}"/>
    <hyperlink ref="E144" location="'Form. Tecnológico'!B75" tooltip="Ir para Empresa 2" display="2" xr:uid="{6FE21EFE-D3A9-4073-B86E-8FAD03189E10}"/>
    <hyperlink ref="F144" location="'Form. Tecnológico'!B109" tooltip="Ir para Empresa 3" display="3" xr:uid="{B11505A1-BCC1-4E96-94CF-8B6A692F89BF}"/>
    <hyperlink ref="G144" location="'Form. Tecnológico'!B143" tooltip="Ir para Empresa 4" display="4" xr:uid="{BBFB43E6-856E-4F6E-BBC5-F44E191767F3}"/>
    <hyperlink ref="I144" location="'Form. Tecnológico'!B211" tooltip="Ir para Empresa 6" display="6" xr:uid="{78AE5ADB-8517-472A-80FE-E2BCFDFD9B87}"/>
    <hyperlink ref="D178" location="'Form. Tecnológico'!B41" tooltip="Ir para Empresa 1" display="1" xr:uid="{20CDC804-CDB3-4D94-B423-628E0CCD8ABA}"/>
    <hyperlink ref="E178" location="'Form. Tecnológico'!B75" tooltip="Ir para Empresa 2" display="2" xr:uid="{8F560E04-FE45-48D2-9B5E-D940B5F5A473}"/>
    <hyperlink ref="F178" location="'Form. Tecnológico'!B109" tooltip="Ir para Empresa 3" display="3" xr:uid="{1042E8F9-DE40-4527-85AD-87ECC61031E9}"/>
    <hyperlink ref="G178" location="'Form. Tecnológico'!B143" tooltip="Ir para Empresa 4" display="4" xr:uid="{BBCB3671-C041-4053-B981-48C168AE3EDC}"/>
    <hyperlink ref="H178" location="'Form. Tecnológico'!B177" tooltip="Ir para Empresa 5" display="5" xr:uid="{C0021144-926F-4A03-934D-974B8742352F}"/>
  </hyperlink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5">
    <tabColor rgb="FF2E5FA3"/>
  </sheetPr>
  <dimension ref="A1:P40"/>
  <sheetViews>
    <sheetView topLeftCell="A2" zoomScale="85" zoomScaleNormal="85" workbookViewId="0">
      <pane xSplit="1" topLeftCell="B1" activePane="topRight" state="frozen"/>
      <selection activeCell="A2" sqref="A2"/>
      <selection pane="topRight" activeCell="N29" sqref="N29"/>
    </sheetView>
  </sheetViews>
  <sheetFormatPr defaultColWidth="8.7109375" defaultRowHeight="15" x14ac:dyDescent="0.25"/>
  <cols>
    <col min="1" max="1" width="48.140625" style="1" customWidth="1"/>
    <col min="2" max="2" width="18.140625" customWidth="1"/>
    <col min="3" max="3" width="8.5703125" customWidth="1"/>
    <col min="4" max="4" width="18.140625" customWidth="1"/>
    <col min="5" max="5" width="8.5703125" customWidth="1"/>
    <col min="6" max="6" width="18.140625" customWidth="1"/>
    <col min="7" max="7" width="8.5703125" customWidth="1"/>
    <col min="8" max="8" width="18.85546875" customWidth="1"/>
    <col min="9" max="9" width="8.5703125" customWidth="1"/>
    <col min="10" max="10" width="18.140625" customWidth="1"/>
    <col min="11" max="11" width="8.5703125" customWidth="1"/>
    <col min="12" max="12" width="18.140625" customWidth="1"/>
    <col min="13" max="13" width="8.5703125" customWidth="1"/>
    <col min="14" max="14" width="15.28515625" customWidth="1"/>
  </cols>
  <sheetData>
    <row r="1" spans="1:16" ht="26.1" customHeight="1" thickBot="1" x14ac:dyDescent="0.35">
      <c r="A1" s="149" t="s">
        <v>202</v>
      </c>
      <c r="B1" s="149"/>
      <c r="C1" s="149"/>
      <c r="D1" s="149"/>
      <c r="E1" s="149"/>
      <c r="F1" s="149"/>
      <c r="G1" s="149"/>
      <c r="H1" s="149"/>
      <c r="I1" s="149"/>
      <c r="J1" s="149"/>
      <c r="K1" s="149"/>
      <c r="L1" s="149"/>
      <c r="M1" s="149"/>
      <c r="N1" s="2"/>
      <c r="O1" s="2"/>
      <c r="P1" s="2"/>
    </row>
    <row r="2" spans="1:16" ht="30" customHeight="1" thickBot="1" x14ac:dyDescent="0.35">
      <c r="A2" s="135" t="s">
        <v>203</v>
      </c>
      <c r="B2" s="136"/>
      <c r="C2" s="136"/>
      <c r="D2" s="136"/>
      <c r="E2" s="137" t="s">
        <v>200</v>
      </c>
      <c r="F2" s="138"/>
      <c r="G2" s="138"/>
      <c r="H2" s="138"/>
      <c r="I2" s="139" t="s">
        <v>204</v>
      </c>
      <c r="J2" s="138"/>
      <c r="K2" s="138"/>
      <c r="L2" s="138"/>
      <c r="M2" s="138"/>
      <c r="N2" s="2"/>
      <c r="O2" s="2"/>
      <c r="P2" s="2"/>
    </row>
    <row r="3" spans="1:16" ht="8.1" customHeight="1" thickBot="1" x14ac:dyDescent="0.35">
      <c r="A3" s="13"/>
      <c r="B3" s="2"/>
      <c r="C3" s="2"/>
      <c r="D3" s="2"/>
      <c r="E3" s="2"/>
      <c r="F3" s="2"/>
      <c r="G3" s="2"/>
      <c r="H3" s="2"/>
      <c r="I3" s="2"/>
      <c r="J3" s="2"/>
      <c r="K3" s="2"/>
      <c r="L3" s="2"/>
      <c r="M3" s="2"/>
      <c r="N3" s="2"/>
      <c r="O3" s="2"/>
      <c r="P3" s="2"/>
    </row>
    <row r="4" spans="1:16" ht="21.95" customHeight="1" thickBot="1" x14ac:dyDescent="0.35">
      <c r="A4" s="140" t="s">
        <v>338</v>
      </c>
      <c r="B4" s="141"/>
      <c r="C4" s="141"/>
      <c r="D4" s="141"/>
      <c r="E4" s="141"/>
      <c r="F4" s="141"/>
      <c r="G4" s="141"/>
      <c r="H4" s="141"/>
      <c r="I4" s="141"/>
      <c r="J4" s="141"/>
      <c r="K4" s="141"/>
      <c r="L4" s="141"/>
      <c r="M4" s="142"/>
      <c r="N4" s="2"/>
      <c r="O4" s="2"/>
      <c r="P4" s="2"/>
    </row>
    <row r="5" spans="1:16" ht="26.1" customHeight="1" x14ac:dyDescent="0.3">
      <c r="A5" s="14" t="s">
        <v>0</v>
      </c>
      <c r="B5" s="15" t="str">
        <f>IF('Form. Empresa'!C9="","1",'Form. Empresa'!C9)</f>
        <v>RENOVA</v>
      </c>
      <c r="C5" s="15" t="s">
        <v>1</v>
      </c>
      <c r="D5" s="15" t="str">
        <f>IF('Form. Empresa'!C29="","2",'Form. Empresa'!C29)</f>
        <v>SOLI SOLAR</v>
      </c>
      <c r="E5" s="15" t="s">
        <v>1</v>
      </c>
      <c r="F5" s="15" t="str">
        <f>IF('Form. Empresa'!C49="","3",'Form. Empresa'!C49)</f>
        <v>ENERGIA SGE</v>
      </c>
      <c r="G5" s="15" t="s">
        <v>1</v>
      </c>
      <c r="H5" s="15" t="str">
        <f>IF('Form. Empresa'!C69="","4",'Form. Empresa'!C69)</f>
        <v>TAP SOLAR</v>
      </c>
      <c r="I5" s="15" t="s">
        <v>1</v>
      </c>
      <c r="J5" s="15" t="str">
        <f>IF('Form. Empresa'!C89="","5",'Form. Empresa'!C89)</f>
        <v>FOTOVOLTA EXPRESS</v>
      </c>
      <c r="K5" s="15" t="s">
        <v>1</v>
      </c>
      <c r="L5" s="15" t="str">
        <f>IF('Form. Empresa'!C109="","6",'Form. Empresa'!C109)</f>
        <v>SELF SOLAR</v>
      </c>
      <c r="M5" s="16" t="s">
        <v>1</v>
      </c>
      <c r="N5" s="17" t="s">
        <v>212</v>
      </c>
      <c r="O5" s="2"/>
      <c r="P5" s="2"/>
    </row>
    <row r="6" spans="1:16" ht="26.1" customHeight="1" x14ac:dyDescent="0.3">
      <c r="A6" s="131" t="s">
        <v>25</v>
      </c>
      <c r="B6" s="143"/>
      <c r="C6" s="143"/>
      <c r="D6" s="143"/>
      <c r="E6" s="143"/>
      <c r="F6" s="143"/>
      <c r="G6" s="143"/>
      <c r="H6" s="143"/>
      <c r="I6" s="143"/>
      <c r="J6" s="143"/>
      <c r="K6" s="143"/>
      <c r="L6" s="143"/>
      <c r="M6" s="144"/>
      <c r="N6" s="2"/>
      <c r="O6" s="2"/>
      <c r="P6" s="2"/>
    </row>
    <row r="7" spans="1:16" ht="24" customHeight="1" x14ac:dyDescent="0.3">
      <c r="A7" s="18" t="s">
        <v>26</v>
      </c>
      <c r="B7" s="19" t="str">
        <f>IF('Form. Tecnológico'!C11="","",'Form. Tecnológico'!C11)</f>
        <v>6,435 kWp</v>
      </c>
      <c r="C7" s="23">
        <v>10</v>
      </c>
      <c r="D7" s="19" t="str">
        <f>IF('Form. Tecnológico'!C45="","",'Form. Tecnológico'!C45)</f>
        <v/>
      </c>
      <c r="E7" s="23">
        <v>8</v>
      </c>
      <c r="F7" s="19" t="str">
        <f>IF('Form. Tecnológico'!C79="","",'Form. Tecnológico'!C79)</f>
        <v/>
      </c>
      <c r="G7" s="23">
        <v>6</v>
      </c>
      <c r="H7" s="19" t="str">
        <f>IF('Form. Tecnológico'!C113="","",'Form. Tecnológico'!C113)</f>
        <v/>
      </c>
      <c r="I7" s="23">
        <v>4</v>
      </c>
      <c r="J7" s="19" t="str">
        <f>IF('Form. Tecnológico'!C147="","",'Form. Tecnológico'!C147)</f>
        <v/>
      </c>
      <c r="K7" s="23">
        <v>5</v>
      </c>
      <c r="L7" s="19" t="str">
        <f>IF('Form. Tecnológico'!C181="","",'Form. Tecnológico'!C181)</f>
        <v/>
      </c>
      <c r="M7" s="24">
        <v>9</v>
      </c>
      <c r="N7" s="22" t="s">
        <v>6</v>
      </c>
      <c r="O7" s="2"/>
      <c r="P7" s="2"/>
    </row>
    <row r="8" spans="1:16" ht="26.1" customHeight="1" x14ac:dyDescent="0.3">
      <c r="A8" s="146" t="s">
        <v>28</v>
      </c>
      <c r="B8" s="147"/>
      <c r="C8" s="147"/>
      <c r="D8" s="147"/>
      <c r="E8" s="147"/>
      <c r="F8" s="147"/>
      <c r="G8" s="147"/>
      <c r="H8" s="147"/>
      <c r="I8" s="147"/>
      <c r="J8" s="147"/>
      <c r="K8" s="147"/>
      <c r="L8" s="147"/>
      <c r="M8" s="148"/>
      <c r="N8" s="2"/>
      <c r="O8" s="2"/>
      <c r="P8" s="2"/>
    </row>
    <row r="9" spans="1:16" ht="24" customHeight="1" x14ac:dyDescent="0.3">
      <c r="A9" s="18" t="s">
        <v>29</v>
      </c>
      <c r="B9" s="19" t="str">
        <f>IF('Form. Tecnológico'!C13="","",'Form. Tecnológico'!C13)</f>
        <v>727 kWh/mês</v>
      </c>
      <c r="C9" s="23">
        <v>10</v>
      </c>
      <c r="D9" s="19" t="str">
        <f>IF('Form. Tecnológico'!C47="","",'Form. Tecnológico'!C47)</f>
        <v/>
      </c>
      <c r="E9" s="23">
        <v>8</v>
      </c>
      <c r="F9" s="19" t="str">
        <f>IF('Form. Tecnológico'!C81="","",'Form. Tecnológico'!C81)</f>
        <v/>
      </c>
      <c r="G9" s="23">
        <v>6</v>
      </c>
      <c r="H9" s="19" t="str">
        <f>IF('Form. Tecnológico'!C115="","",'Form. Tecnológico'!C115)</f>
        <v/>
      </c>
      <c r="I9" s="23">
        <v>4</v>
      </c>
      <c r="J9" s="19" t="str">
        <f>IF('Form. Tecnológico'!C149="","",'Form. Tecnológico'!C149)</f>
        <v/>
      </c>
      <c r="K9" s="23">
        <v>5</v>
      </c>
      <c r="L9" s="19" t="str">
        <f>IF('Form. Tecnológico'!C183="","",'Form. Tecnológico'!C183)</f>
        <v/>
      </c>
      <c r="M9" s="24">
        <v>8</v>
      </c>
      <c r="N9" s="22" t="s">
        <v>6</v>
      </c>
      <c r="O9" s="2"/>
      <c r="P9" s="2"/>
    </row>
    <row r="10" spans="1:16" ht="24" customHeight="1" x14ac:dyDescent="0.3">
      <c r="A10" s="18" t="s">
        <v>30</v>
      </c>
      <c r="B10" s="19" t="str">
        <f>IF('Form. Tecnológico'!C14="","",'Form. Tecnológico'!C14)</f>
        <v>8.732 kWh/ano</v>
      </c>
      <c r="C10" s="23">
        <v>10</v>
      </c>
      <c r="D10" s="19" t="str">
        <f>IF('Form. Tecnológico'!C48="","",'Form. Tecnológico'!C48)</f>
        <v/>
      </c>
      <c r="E10" s="23">
        <v>9</v>
      </c>
      <c r="F10" s="19" t="str">
        <f>IF('Form. Tecnológico'!C82="","",'Form. Tecnológico'!C82)</f>
        <v/>
      </c>
      <c r="G10" s="23">
        <v>7</v>
      </c>
      <c r="H10" s="19" t="str">
        <f>IF('Form. Tecnológico'!C116="","",'Form. Tecnológico'!C116)</f>
        <v/>
      </c>
      <c r="I10" s="23">
        <v>5</v>
      </c>
      <c r="J10" s="19" t="str">
        <f>IF('Form. Tecnológico'!C150="","",'Form. Tecnológico'!C150)</f>
        <v/>
      </c>
      <c r="K10" s="23">
        <v>6</v>
      </c>
      <c r="L10" s="19" t="str">
        <f>IF('Form. Tecnológico'!C184="","",'Form. Tecnológico'!C184)</f>
        <v/>
      </c>
      <c r="M10" s="24">
        <v>9</v>
      </c>
      <c r="N10" s="22" t="s">
        <v>6</v>
      </c>
      <c r="O10" s="2"/>
      <c r="P10" s="2"/>
    </row>
    <row r="11" spans="1:16" ht="26.1" customHeight="1" x14ac:dyDescent="0.3">
      <c r="A11" s="146" t="s">
        <v>31</v>
      </c>
      <c r="B11" s="147"/>
      <c r="C11" s="147"/>
      <c r="D11" s="147"/>
      <c r="E11" s="147"/>
      <c r="F11" s="147"/>
      <c r="G11" s="147"/>
      <c r="H11" s="147"/>
      <c r="I11" s="147"/>
      <c r="J11" s="147"/>
      <c r="K11" s="147"/>
      <c r="L11" s="147"/>
      <c r="M11" s="148"/>
      <c r="N11" s="2"/>
      <c r="O11" s="2"/>
      <c r="P11" s="2"/>
    </row>
    <row r="12" spans="1:16" ht="24" customHeight="1" x14ac:dyDescent="0.3">
      <c r="A12" s="18" t="s">
        <v>32</v>
      </c>
      <c r="B12" s="19" t="str">
        <f>IF('Form. Tecnológico'!C16="","",'Form. Tecnológico'!C16)</f>
        <v>HANERSUN</v>
      </c>
      <c r="C12" s="23"/>
      <c r="D12" s="19" t="str">
        <f>IF('Form. Tecnológico'!C50="","",'Form. Tecnológico'!C50)</f>
        <v/>
      </c>
      <c r="E12" s="23">
        <v>8</v>
      </c>
      <c r="F12" s="19" t="str">
        <f>IF('Form. Tecnológico'!C84="","",'Form. Tecnológico'!C84)</f>
        <v/>
      </c>
      <c r="G12" s="23">
        <v>6</v>
      </c>
      <c r="H12" s="19" t="str">
        <f>IF('Form. Tecnológico'!C118="","",'Form. Tecnológico'!C118)</f>
        <v/>
      </c>
      <c r="I12" s="23">
        <v>4</v>
      </c>
      <c r="J12" s="19" t="str">
        <f>IF('Form. Tecnológico'!C152="","",'Form. Tecnológico'!C152)</f>
        <v/>
      </c>
      <c r="K12" s="23">
        <v>5</v>
      </c>
      <c r="L12" s="19" t="str">
        <f>IF('Form. Tecnológico'!C186="","",'Form. Tecnológico'!C186)</f>
        <v/>
      </c>
      <c r="M12" s="24">
        <v>9</v>
      </c>
      <c r="N12" s="22" t="s">
        <v>6</v>
      </c>
      <c r="O12" s="2"/>
      <c r="P12" s="2"/>
    </row>
    <row r="13" spans="1:16" ht="24" customHeight="1" x14ac:dyDescent="0.3">
      <c r="A13" s="18" t="s">
        <v>34</v>
      </c>
      <c r="B13" s="19" t="str">
        <f>IF('Form. Tecnológico'!C17="","",'Form. Tecnológico'!C17)</f>
        <v>HN18N-72H</v>
      </c>
      <c r="C13" s="23"/>
      <c r="D13" s="19" t="str">
        <f>IF('Form. Tecnológico'!C51="","",'Form. Tecnológico'!C51)</f>
        <v/>
      </c>
      <c r="E13" s="23">
        <v>9</v>
      </c>
      <c r="F13" s="19" t="str">
        <f>IF('Form. Tecnológico'!C85="","",'Form. Tecnológico'!C85)</f>
        <v/>
      </c>
      <c r="G13" s="23">
        <v>7</v>
      </c>
      <c r="H13" s="19" t="str">
        <f>IF('Form. Tecnológico'!C119="","",'Form. Tecnológico'!C119)</f>
        <v/>
      </c>
      <c r="I13" s="23">
        <v>9</v>
      </c>
      <c r="J13" s="19" t="str">
        <f>IF('Form. Tecnológico'!C153="","",'Form. Tecnológico'!C153)</f>
        <v/>
      </c>
      <c r="K13" s="23">
        <v>5</v>
      </c>
      <c r="L13" s="19" t="str">
        <f>IF('Form. Tecnológico'!C187="","",'Form. Tecnológico'!C187)</f>
        <v/>
      </c>
      <c r="M13" s="24">
        <v>9</v>
      </c>
      <c r="N13" s="22" t="s">
        <v>6</v>
      </c>
      <c r="O13" s="2"/>
      <c r="P13" s="2"/>
    </row>
    <row r="14" spans="1:16" ht="24" customHeight="1" x14ac:dyDescent="0.3">
      <c r="A14" s="18" t="s">
        <v>36</v>
      </c>
      <c r="B14" s="19" t="str">
        <f>IF('Form. Tecnológico'!C18="","",'Form. Tecnológico'!C18)</f>
        <v>585 W</v>
      </c>
      <c r="C14" s="20">
        <v>10</v>
      </c>
      <c r="D14" s="19" t="str">
        <f>IF('Form. Tecnológico'!A86="","",'Form. Tecnológico'!A86)</f>
        <v/>
      </c>
      <c r="E14" s="20">
        <v>10</v>
      </c>
      <c r="F14" s="19" t="str">
        <f>IF('Form. Tecnológico'!C86="","",'Form. Tecnológico'!C86)</f>
        <v/>
      </c>
      <c r="G14" s="20">
        <v>10</v>
      </c>
      <c r="H14" s="19" t="str">
        <f>IF('Form. Tecnológico'!C120="","",'Form. Tecnológico'!C120)</f>
        <v/>
      </c>
      <c r="I14" s="20">
        <v>10</v>
      </c>
      <c r="J14" s="19" t="str">
        <f>IF('Form. Tecnológico'!C154="","",'Form. Tecnológico'!C154)</f>
        <v/>
      </c>
      <c r="K14" s="20">
        <v>10</v>
      </c>
      <c r="L14" s="19" t="str">
        <f>IF('Form. Tecnológico'!C188="","",'Form. Tecnológico'!C188)</f>
        <v/>
      </c>
      <c r="M14" s="21">
        <v>10</v>
      </c>
      <c r="N14" s="22" t="s">
        <v>6</v>
      </c>
      <c r="O14" s="2"/>
      <c r="P14" s="2"/>
    </row>
    <row r="15" spans="1:16" ht="24" customHeight="1" x14ac:dyDescent="0.3">
      <c r="A15" s="18" t="s">
        <v>37</v>
      </c>
      <c r="B15" s="19" t="str">
        <f>IF('Form. Tecnológico'!C19="","",'Form. Tecnológico'!C19)</f>
        <v>28,5 kg</v>
      </c>
      <c r="C15" s="20">
        <v>10</v>
      </c>
      <c r="D15" s="19" t="str">
        <f>IF('Form. Tecnológico'!C53="","",'Form. Tecnológico'!C53)</f>
        <v/>
      </c>
      <c r="E15" s="20">
        <v>10</v>
      </c>
      <c r="F15" s="19" t="str">
        <f>IF('Form. Tecnológico'!C87="","",'Form. Tecnológico'!C87)</f>
        <v/>
      </c>
      <c r="G15" s="20">
        <v>10</v>
      </c>
      <c r="H15" s="19" t="str">
        <f>IF('Form. Tecnológico'!C121="","",'Form. Tecnológico'!C121)</f>
        <v/>
      </c>
      <c r="I15" s="20">
        <v>10</v>
      </c>
      <c r="J15" s="19" t="str">
        <f>IF('Form. Tecnológico'!C155="","",'Form. Tecnológico'!C155)</f>
        <v/>
      </c>
      <c r="K15" s="20">
        <v>10</v>
      </c>
      <c r="L15" s="19" t="str">
        <f>IF('Form. Tecnológico'!C189="","",'Form. Tecnológico'!C189)</f>
        <v/>
      </c>
      <c r="M15" s="21">
        <v>10</v>
      </c>
      <c r="N15" s="22" t="s">
        <v>6</v>
      </c>
      <c r="O15" s="2"/>
      <c r="P15" s="2"/>
    </row>
    <row r="16" spans="1:16" ht="24" customHeight="1" x14ac:dyDescent="0.3">
      <c r="A16" s="18" t="s">
        <v>39</v>
      </c>
      <c r="B16" s="19" t="str">
        <f>IF('Form. Tecnológico'!C20="","",'Form. Tecnológico'!C20)</f>
        <v>22,6%</v>
      </c>
      <c r="C16" s="20">
        <v>10</v>
      </c>
      <c r="D16" s="19" t="str">
        <f>IF('Form. Tecnológico'!C54="","",'Form. Tecnológico'!C54)</f>
        <v/>
      </c>
      <c r="E16" s="20">
        <v>10</v>
      </c>
      <c r="F16" s="19" t="str">
        <f>IF('Form. Tecnológico'!C88="","",'Form. Tecnológico'!C88)</f>
        <v/>
      </c>
      <c r="G16" s="20">
        <v>10</v>
      </c>
      <c r="H16" s="19" t="str">
        <f>IF('Form. Tecnológico'!C122="","",'Form. Tecnológico'!C122)</f>
        <v/>
      </c>
      <c r="I16" s="20">
        <v>10</v>
      </c>
      <c r="J16" s="19" t="str">
        <f>IF('Form. Tecnológico'!C156="","",'Form. Tecnológico'!C156)</f>
        <v/>
      </c>
      <c r="K16" s="20">
        <v>10</v>
      </c>
      <c r="L16" s="19" t="str">
        <f>IF('Form. Tecnológico'!C190="","",'Form. Tecnológico'!C190)</f>
        <v/>
      </c>
      <c r="M16" s="21">
        <v>10</v>
      </c>
      <c r="N16" s="22" t="s">
        <v>6</v>
      </c>
      <c r="O16" s="2"/>
      <c r="P16" s="2"/>
    </row>
    <row r="17" spans="1:16" ht="24" customHeight="1" x14ac:dyDescent="0.3">
      <c r="A17" s="18" t="s">
        <v>41</v>
      </c>
      <c r="B17" s="19" t="str">
        <f>IF('Form. Tecnológico'!C21="","",'Form. Tecnológico'!C21)</f>
        <v>85,0% (25 anos)</v>
      </c>
      <c r="C17" s="20">
        <v>10</v>
      </c>
      <c r="D17" s="19" t="str">
        <f>IF('Form. Tecnológico'!C55="","",'Form. Tecnológico'!C55)</f>
        <v/>
      </c>
      <c r="E17" s="20">
        <v>10</v>
      </c>
      <c r="F17" s="19" t="str">
        <f>IF('Form. Tecnológico'!C89="","",'Form. Tecnológico'!C89)</f>
        <v/>
      </c>
      <c r="G17" s="20">
        <v>10</v>
      </c>
      <c r="H17" s="19" t="str">
        <f>IF('Form. Tecnológico'!C123="","",'Form. Tecnológico'!C123)</f>
        <v/>
      </c>
      <c r="I17" s="20">
        <v>10</v>
      </c>
      <c r="J17" s="19" t="str">
        <f>IF('Form. Tecnológico'!C157="","",'Form. Tecnológico'!C157)</f>
        <v/>
      </c>
      <c r="K17" s="20">
        <v>10</v>
      </c>
      <c r="L17" s="19" t="str">
        <f>IF('Form. Tecnológico'!C191="","",'Form. Tecnológico'!C191)</f>
        <v/>
      </c>
      <c r="M17" s="21">
        <v>10</v>
      </c>
      <c r="N17" s="22" t="s">
        <v>6</v>
      </c>
      <c r="O17" s="2"/>
      <c r="P17" s="2"/>
    </row>
    <row r="18" spans="1:16" ht="24" customHeight="1" x14ac:dyDescent="0.3">
      <c r="A18" s="18" t="s">
        <v>42</v>
      </c>
      <c r="B18" s="19" t="str">
        <f>IF('Form. Tecnológico'!C22="","",'Form. Tecnológico'!C22)</f>
        <v>12 anos</v>
      </c>
      <c r="C18" s="20">
        <v>10</v>
      </c>
      <c r="D18" s="19" t="str">
        <f>IF('Form. Tecnológico'!C56="","",'Form. Tecnológico'!C56)</f>
        <v/>
      </c>
      <c r="E18" s="20">
        <v>10</v>
      </c>
      <c r="F18" s="19" t="str">
        <f>IF('Form. Tecnológico'!C90="","",'Form. Tecnológico'!C90)</f>
        <v/>
      </c>
      <c r="G18" s="20">
        <v>10</v>
      </c>
      <c r="H18" s="19" t="str">
        <f>IF('Form. Tecnológico'!C124="","",'Form. Tecnológico'!C124)</f>
        <v/>
      </c>
      <c r="I18" s="20">
        <v>10</v>
      </c>
      <c r="J18" s="19" t="str">
        <f>IF('Form. Tecnológico'!C158="","",'Form. Tecnológico'!C158)</f>
        <v/>
      </c>
      <c r="K18" s="20">
        <v>10</v>
      </c>
      <c r="L18" s="19" t="str">
        <f>IF('Form. Tecnológico'!C192="","",'Form. Tecnológico'!C192)</f>
        <v/>
      </c>
      <c r="M18" s="21">
        <v>10</v>
      </c>
      <c r="N18" s="22" t="s">
        <v>6</v>
      </c>
      <c r="O18" s="2"/>
      <c r="P18" s="2"/>
    </row>
    <row r="19" spans="1:16" ht="24" customHeight="1" x14ac:dyDescent="0.3">
      <c r="A19" s="18" t="s">
        <v>44</v>
      </c>
      <c r="B19" s="19" t="str">
        <f>IF('Form. Tecnológico'!C23="","",'Form. Tecnológico'!C23)</f>
        <v>25 anos</v>
      </c>
      <c r="C19" s="20">
        <v>10</v>
      </c>
      <c r="D19" s="19" t="str">
        <f>IF('Form. Tecnológico'!C57="","",'Form. Tecnológico'!C57)</f>
        <v/>
      </c>
      <c r="E19" s="20">
        <v>10</v>
      </c>
      <c r="F19" s="19" t="str">
        <f>IF('Form. Tecnológico'!C91="","",'Form. Tecnológico'!C91)</f>
        <v/>
      </c>
      <c r="G19" s="20">
        <v>10</v>
      </c>
      <c r="H19" s="19" t="str">
        <f>IF('Form. Tecnológico'!C125="","",'Form. Tecnológico'!C125)</f>
        <v/>
      </c>
      <c r="I19" s="20">
        <v>10</v>
      </c>
      <c r="J19" s="19" t="str">
        <f>IF('Form. Tecnológico'!C159="","",'Form. Tecnológico'!C159)</f>
        <v/>
      </c>
      <c r="K19" s="20">
        <v>10</v>
      </c>
      <c r="L19" s="19" t="str">
        <f>IF('Form. Tecnológico'!C193="","",'Form. Tecnológico'!C193)</f>
        <v/>
      </c>
      <c r="M19" s="21">
        <v>10</v>
      </c>
      <c r="N19" s="22" t="s">
        <v>6</v>
      </c>
      <c r="O19" s="2"/>
      <c r="P19" s="2"/>
    </row>
    <row r="20" spans="1:16" ht="26.1" customHeight="1" x14ac:dyDescent="0.3">
      <c r="A20" s="146" t="s">
        <v>46</v>
      </c>
      <c r="B20" s="147"/>
      <c r="C20" s="147"/>
      <c r="D20" s="147"/>
      <c r="E20" s="147"/>
      <c r="F20" s="147"/>
      <c r="G20" s="147"/>
      <c r="H20" s="147"/>
      <c r="I20" s="147"/>
      <c r="J20" s="147"/>
      <c r="K20" s="147"/>
      <c r="L20" s="147"/>
      <c r="M20" s="148"/>
      <c r="N20" s="2"/>
      <c r="O20" s="2"/>
      <c r="P20" s="2"/>
    </row>
    <row r="21" spans="1:16" ht="24" customHeight="1" x14ac:dyDescent="0.3">
      <c r="A21" s="18" t="s">
        <v>32</v>
      </c>
      <c r="B21" s="19" t="str">
        <f>IF('Form. Tecnológico'!C26="","",'Form. Tecnológico'!C26)</f>
        <v>GOODWE</v>
      </c>
      <c r="C21" s="23">
        <v>8</v>
      </c>
      <c r="D21" s="19" t="str">
        <f>IF('Form. Tecnológico'!C60="","",'Form. Tecnológico'!C60)</f>
        <v/>
      </c>
      <c r="E21" s="23">
        <v>10</v>
      </c>
      <c r="F21" s="19" t="str">
        <f>IF('Form. Tecnológico'!C94="","",'Form. Tecnológico'!C94)</f>
        <v/>
      </c>
      <c r="G21" s="23">
        <v>10</v>
      </c>
      <c r="H21" s="19" t="str">
        <f>IF('Form. Tecnológico'!C128="","",'Form. Tecnológico'!C128)</f>
        <v/>
      </c>
      <c r="I21" s="23">
        <v>10</v>
      </c>
      <c r="J21" s="19" t="str">
        <f>IF('Form. Tecnológico'!C162="","",'Form. Tecnológico'!C162)</f>
        <v/>
      </c>
      <c r="K21" s="23">
        <v>4</v>
      </c>
      <c r="L21" s="19" t="str">
        <f>IF('Form. Tecnológico'!C196="","",'Form. Tecnológico'!C196)</f>
        <v/>
      </c>
      <c r="M21" s="24">
        <v>8</v>
      </c>
      <c r="N21" s="22" t="s">
        <v>6</v>
      </c>
      <c r="O21" s="2"/>
      <c r="P21" s="2"/>
    </row>
    <row r="22" spans="1:16" ht="24" customHeight="1" x14ac:dyDescent="0.3">
      <c r="A22" s="18" t="s">
        <v>34</v>
      </c>
      <c r="B22" s="19" t="str">
        <f>IF('Form. Tecnológico'!C27="","",'Form. Tecnológico'!C27)</f>
        <v>GW5000 DNS 30</v>
      </c>
      <c r="C22" s="23">
        <v>8</v>
      </c>
      <c r="D22" s="19" t="str">
        <f>IF('Form. Tecnológico'!C61="","",'Form. Tecnológico'!C61)</f>
        <v/>
      </c>
      <c r="E22" s="23">
        <v>10</v>
      </c>
      <c r="F22" s="19" t="str">
        <f>IF('Form. Tecnológico'!C95="","",'Form. Tecnológico'!C95)</f>
        <v/>
      </c>
      <c r="G22" s="23">
        <v>8</v>
      </c>
      <c r="H22" s="19" t="str">
        <f>IF('Form. Tecnológico'!C129="","",'Form. Tecnológico'!C129)</f>
        <v/>
      </c>
      <c r="I22" s="23">
        <v>10</v>
      </c>
      <c r="J22" s="19" t="str">
        <f>IF('Form. Tecnológico'!C163="","",'Form. Tecnológico'!C163)</f>
        <v/>
      </c>
      <c r="K22" s="23">
        <v>5</v>
      </c>
      <c r="L22" s="19" t="str">
        <f>IF('Form. Tecnológico'!C197="","",'Form. Tecnológico'!C197)</f>
        <v/>
      </c>
      <c r="M22" s="24">
        <v>9</v>
      </c>
      <c r="N22" s="22" t="s">
        <v>6</v>
      </c>
      <c r="O22" s="2"/>
      <c r="P22" s="2"/>
    </row>
    <row r="23" spans="1:16" ht="24" customHeight="1" x14ac:dyDescent="0.3">
      <c r="A23" s="18" t="s">
        <v>48</v>
      </c>
      <c r="B23" s="19" t="str">
        <f>IF('Form. Tecnológico'!C28="","",'Form. Tecnológico'!C28)</f>
        <v>5 KW</v>
      </c>
      <c r="C23" s="23">
        <v>8</v>
      </c>
      <c r="D23" s="19" t="str">
        <f>IF('Form. Tecnológico'!C62="","",'Form. Tecnológico'!C62)</f>
        <v/>
      </c>
      <c r="E23" s="23">
        <v>10</v>
      </c>
      <c r="F23" s="19" t="str">
        <f>IF('Form. Tecnológico'!C96="","",'Form. Tecnológico'!C96)</f>
        <v/>
      </c>
      <c r="G23" s="23">
        <v>6</v>
      </c>
      <c r="H23" s="19" t="str">
        <f>IF('Form. Tecnológico'!C130="","",'Form. Tecnológico'!C130)</f>
        <v/>
      </c>
      <c r="I23" s="23">
        <v>10</v>
      </c>
      <c r="J23" s="19" t="str">
        <f>IF('Form. Tecnológico'!C164="","",'Form. Tecnológico'!C164)</f>
        <v/>
      </c>
      <c r="K23" s="23">
        <v>4</v>
      </c>
      <c r="L23" s="19" t="str">
        <f>IF('Form. Tecnológico'!C198="","",'Form. Tecnológico'!C198)</f>
        <v/>
      </c>
      <c r="M23" s="24">
        <v>8</v>
      </c>
      <c r="N23" s="22" t="s">
        <v>6</v>
      </c>
      <c r="O23" s="2"/>
      <c r="P23" s="2"/>
    </row>
    <row r="24" spans="1:16" ht="24" customHeight="1" x14ac:dyDescent="0.3">
      <c r="A24" s="18" t="s">
        <v>42</v>
      </c>
      <c r="B24" s="19" t="str">
        <f>IF('Form. Tecnológico'!C29="","",'Form. Tecnológico'!C29)</f>
        <v>12 anos</v>
      </c>
      <c r="C24" s="20">
        <v>10</v>
      </c>
      <c r="D24" s="19" t="str">
        <f>IF('Form. Tecnológico'!C63="","",'Form. Tecnológico'!C63)</f>
        <v/>
      </c>
      <c r="E24" s="20">
        <v>10</v>
      </c>
      <c r="F24" s="19" t="str">
        <f>IF('Form. Tecnológico'!C97="","",'Form. Tecnológico'!C97)</f>
        <v/>
      </c>
      <c r="G24" s="20">
        <v>7</v>
      </c>
      <c r="H24" s="19" t="str">
        <f>IF('Form. Tecnológico'!C131="","",'Form. Tecnológico'!C131)</f>
        <v/>
      </c>
      <c r="I24" s="20">
        <v>10</v>
      </c>
      <c r="J24" s="19" t="str">
        <f>IF('Form. Tecnológico'!C165="","",'Form. Tecnológico'!C165)</f>
        <v/>
      </c>
      <c r="K24" s="20">
        <v>10</v>
      </c>
      <c r="L24" s="19" t="str">
        <f>IF('Form. Tecnológico'!C199="","",'Form. Tecnológico'!C199)</f>
        <v/>
      </c>
      <c r="M24" s="21">
        <v>10</v>
      </c>
      <c r="N24" s="22" t="s">
        <v>6</v>
      </c>
      <c r="O24" s="2"/>
      <c r="P24" s="2"/>
    </row>
    <row r="25" spans="1:16" ht="26.1" customHeight="1" x14ac:dyDescent="0.3">
      <c r="A25" s="146"/>
      <c r="B25" s="147"/>
      <c r="C25" s="147"/>
      <c r="D25" s="147"/>
      <c r="E25" s="147"/>
      <c r="F25" s="147"/>
      <c r="G25" s="147"/>
      <c r="H25" s="147"/>
      <c r="I25" s="147"/>
      <c r="J25" s="147"/>
      <c r="K25" s="147"/>
      <c r="L25" s="147"/>
      <c r="M25" s="148"/>
      <c r="N25" s="2"/>
      <c r="O25" s="2"/>
      <c r="P25" s="2" t="s">
        <v>100</v>
      </c>
    </row>
    <row r="26" spans="1:16" ht="24" customHeight="1" x14ac:dyDescent="0.3">
      <c r="A26" s="34" t="s">
        <v>50</v>
      </c>
      <c r="B26" s="19" t="str">
        <f>IF('Form. Tecnológico'!C32="","",'Form. Tecnológico'!C32)</f>
        <v>1,28 ou 28%</v>
      </c>
      <c r="C26" s="20">
        <v>10</v>
      </c>
      <c r="D26" s="19" t="str">
        <f>IF('Form. Tecnológico'!C66="","",'Form. Tecnológico'!C66)</f>
        <v/>
      </c>
      <c r="E26" s="20">
        <v>10</v>
      </c>
      <c r="F26" s="19" t="str">
        <f>IF('Form. Tecnológico'!C100="","",'Form. Tecnológico'!C100)</f>
        <v/>
      </c>
      <c r="G26" s="20">
        <v>8</v>
      </c>
      <c r="H26" s="19" t="str">
        <f>IF('Form. Tecnológico'!C134="","",'Form. Tecnológico'!C134)</f>
        <v/>
      </c>
      <c r="I26" s="20">
        <v>10</v>
      </c>
      <c r="J26" s="19" t="str">
        <f>IF('Form. Tecnológico'!C168="","",'Form. Tecnológico'!C168)</f>
        <v/>
      </c>
      <c r="K26" s="20">
        <v>10</v>
      </c>
      <c r="L26" s="19" t="str">
        <f>IF('Form. Tecnológico'!C202="","",'Form. Tecnológico'!C202)</f>
        <v/>
      </c>
      <c r="M26" s="21">
        <v>5</v>
      </c>
      <c r="N26" s="22" t="s">
        <v>6</v>
      </c>
      <c r="O26" s="2"/>
      <c r="P26" s="2"/>
    </row>
    <row r="27" spans="1:16" ht="26.1" customHeight="1" x14ac:dyDescent="0.3">
      <c r="A27" s="220"/>
      <c r="B27" s="221"/>
      <c r="C27" s="221"/>
      <c r="D27" s="221"/>
      <c r="E27" s="221"/>
      <c r="F27" s="221"/>
      <c r="G27" s="221"/>
      <c r="H27" s="221"/>
      <c r="I27" s="221"/>
      <c r="J27" s="221"/>
      <c r="K27" s="221"/>
      <c r="L27" s="221"/>
      <c r="M27" s="222"/>
      <c r="N27" s="2"/>
      <c r="O27" s="2"/>
      <c r="P27" s="2"/>
    </row>
    <row r="28" spans="1:16" ht="26.1" customHeight="1" x14ac:dyDescent="0.3">
      <c r="A28" s="98" t="s">
        <v>144</v>
      </c>
      <c r="B28" s="99"/>
      <c r="C28" s="99"/>
      <c r="D28" s="99"/>
      <c r="E28" s="99"/>
      <c r="F28" s="99"/>
      <c r="G28" s="99"/>
      <c r="H28" s="99"/>
      <c r="I28" s="99"/>
      <c r="J28" s="99"/>
      <c r="K28" s="99"/>
      <c r="L28" s="99"/>
      <c r="M28" s="99"/>
      <c r="N28" s="227"/>
      <c r="O28" s="2"/>
      <c r="P28" s="2"/>
    </row>
    <row r="29" spans="1:16" ht="26.1" customHeight="1" x14ac:dyDescent="0.3">
      <c r="A29" s="217" t="s">
        <v>145</v>
      </c>
      <c r="B29" s="218" t="str">
        <f>IF('Form. Tecnológico'!C34="","",'Form. Tecnológico'!C34)</f>
        <v>8,4/10 - Reputação Ótima</v>
      </c>
      <c r="C29" s="219">
        <v>10</v>
      </c>
      <c r="D29" s="218" t="str">
        <f>IF('Form. Tecnológico'!C68="","",'Form. Tecnológico'!C68)</f>
        <v/>
      </c>
      <c r="E29" s="219">
        <v>10</v>
      </c>
      <c r="F29" s="218" t="str">
        <f>IF('Form. Tecnológico'!C102="","",'Form. Tecnológico'!C102)</f>
        <v/>
      </c>
      <c r="G29" s="219">
        <v>10</v>
      </c>
      <c r="H29" s="218" t="str">
        <f>IF('Form. Tecnológico'!C136="","",'Form. Tecnológico'!C136)</f>
        <v/>
      </c>
      <c r="I29" s="219">
        <v>10</v>
      </c>
      <c r="J29" s="218" t="str">
        <f>IF('Form. Tecnológico'!C170="","",'Form. Tecnológico'!C170)</f>
        <v/>
      </c>
      <c r="K29" s="219">
        <v>10</v>
      </c>
      <c r="L29" s="218" t="str">
        <f>IF('Form. Tecnológico'!C204="","",'Form. Tecnológico'!C204)</f>
        <v/>
      </c>
      <c r="M29" s="219">
        <v>10</v>
      </c>
      <c r="N29" s="228" t="s">
        <v>10</v>
      </c>
      <c r="O29" s="2"/>
      <c r="P29" s="2"/>
    </row>
    <row r="30" spans="1:16" ht="26.1" customHeight="1" x14ac:dyDescent="0.3">
      <c r="A30" s="217" t="s">
        <v>146</v>
      </c>
      <c r="B30" s="218" t="str">
        <f>IF('Form. Tecnológico'!C35="","",'Form. Tecnológico'!C35)</f>
        <v>Hanersun - sem avaliação</v>
      </c>
      <c r="C30" s="219">
        <v>10</v>
      </c>
      <c r="D30" s="218" t="str">
        <f>IF('Form. Tecnológico'!C69="","",'Form. Tecnológico'!C69)</f>
        <v/>
      </c>
      <c r="E30" s="219">
        <v>10</v>
      </c>
      <c r="F30" s="218" t="str">
        <f>IF('Form. Tecnológico'!C103="","",'Form. Tecnológico'!C103)</f>
        <v/>
      </c>
      <c r="G30" s="219">
        <v>10</v>
      </c>
      <c r="H30" s="218" t="str">
        <f>IF('Form. Tecnológico'!C137="","",'Form. Tecnológico'!C137)</f>
        <v/>
      </c>
      <c r="I30" s="219">
        <v>10</v>
      </c>
      <c r="J30" s="218" t="str">
        <f>IF('Form. Tecnológico'!C171="","",'Form. Tecnológico'!C171)</f>
        <v/>
      </c>
      <c r="K30" s="219">
        <v>10</v>
      </c>
      <c r="L30" s="218" t="str">
        <f>IF('Form. Tecnológico'!C205="","",'Form. Tecnológico'!C205)</f>
        <v/>
      </c>
      <c r="M30" s="219">
        <v>10</v>
      </c>
      <c r="N30" s="228" t="s">
        <v>10</v>
      </c>
      <c r="O30" s="2"/>
      <c r="P30" s="2"/>
    </row>
    <row r="31" spans="1:16" ht="26.1" customHeight="1" x14ac:dyDescent="0.3">
      <c r="A31" s="217" t="s">
        <v>147</v>
      </c>
      <c r="B31" s="218" t="str">
        <f>IF('Form. Tecnológico'!C36="","",'Form. Tecnológico'!C36)</f>
        <v xml:space="preserve">Growatt - 7,6 - Reputação Boa </v>
      </c>
      <c r="C31" s="219">
        <v>10</v>
      </c>
      <c r="D31" s="218" t="str">
        <f>IF('Form. Tecnológico'!C70="","",'Form. Tecnológico'!C70)</f>
        <v/>
      </c>
      <c r="E31" s="219">
        <v>10</v>
      </c>
      <c r="F31" s="218" t="str">
        <f>IF('Form. Tecnológico'!C104="","",'Form. Tecnológico'!C104)</f>
        <v/>
      </c>
      <c r="G31" s="219">
        <v>10</v>
      </c>
      <c r="H31" s="218" t="str">
        <f>IF('Form. Tecnológico'!C138="","",'Form. Tecnológico'!C138)</f>
        <v/>
      </c>
      <c r="I31" s="219">
        <v>10</v>
      </c>
      <c r="J31" s="218" t="str">
        <f>IF('Form. Tecnológico'!C172="","",'Form. Tecnológico'!C172)</f>
        <v/>
      </c>
      <c r="K31" s="219">
        <v>10</v>
      </c>
      <c r="L31" s="218" t="str">
        <f>IF('Form. Tecnológico'!C206="","",'Form. Tecnológico'!C206)</f>
        <v/>
      </c>
      <c r="M31" s="219">
        <v>10</v>
      </c>
      <c r="N31" s="228" t="s">
        <v>10</v>
      </c>
      <c r="O31" s="2"/>
      <c r="P31" s="2"/>
    </row>
    <row r="32" spans="1:16" ht="24" customHeight="1" x14ac:dyDescent="0.3">
      <c r="A32" s="223" t="s">
        <v>52</v>
      </c>
      <c r="B32" s="224" t="str">
        <f>IF('Form. Tecnológico'!C38="","",'Form. Tecnológico'!C38)</f>
        <v>Sim</v>
      </c>
      <c r="C32" s="225">
        <v>10</v>
      </c>
      <c r="D32" s="224" t="str">
        <f>IF('Form. Tecnológico'!C72="","",'Form. Tecnológico'!C72)</f>
        <v/>
      </c>
      <c r="E32" s="225">
        <v>10</v>
      </c>
      <c r="F32" s="224" t="str">
        <f>IF('Form. Tecnológico'!C106="","",'Form. Tecnológico'!C106)</f>
        <v/>
      </c>
      <c r="G32" s="225">
        <v>7</v>
      </c>
      <c r="H32" s="224" t="str">
        <f>IF('Form. Tecnológico'!C140="","",'Form. Tecnológico'!C140)</f>
        <v/>
      </c>
      <c r="I32" s="225">
        <v>10</v>
      </c>
      <c r="J32" s="224" t="str">
        <f>IF('Form. Tecnológico'!C174="","",'Form. Tecnológico'!C174)</f>
        <v/>
      </c>
      <c r="K32" s="225">
        <v>8</v>
      </c>
      <c r="L32" s="224" t="str">
        <f>IF('Form. Tecnológico'!C208="","",'Form. Tecnológico'!C208)</f>
        <v/>
      </c>
      <c r="M32" s="226">
        <v>5</v>
      </c>
      <c r="N32" s="22" t="s">
        <v>6</v>
      </c>
      <c r="O32" s="2"/>
      <c r="P32" s="2"/>
    </row>
    <row r="33" spans="1:16" ht="24" customHeight="1" x14ac:dyDescent="0.3">
      <c r="A33" s="18" t="s">
        <v>53</v>
      </c>
      <c r="B33" s="19" t="str">
        <f>IF('Form. Tecnológico'!C39="","",'Form. Tecnológico'!C39)</f>
        <v>Não sei</v>
      </c>
      <c r="C33" s="20">
        <v>10</v>
      </c>
      <c r="D33" s="19" t="str">
        <f>IF('Form. Tecnológico'!C73="","",'Form. Tecnológico'!C73)</f>
        <v/>
      </c>
      <c r="E33" s="20">
        <v>10</v>
      </c>
      <c r="F33" s="19" t="str">
        <f>IF('Form. Tecnológico'!C107="","",'Form. Tecnológico'!C107)</f>
        <v/>
      </c>
      <c r="G33" s="20">
        <v>7</v>
      </c>
      <c r="H33" s="19" t="str">
        <f>IF('Form. Tecnológico'!C141="","",'Form. Tecnológico'!C141)</f>
        <v/>
      </c>
      <c r="I33" s="20">
        <v>10</v>
      </c>
      <c r="J33" s="19" t="str">
        <f>IF('Form. Tecnológico'!C175="","",'Form. Tecnológico'!C175)</f>
        <v/>
      </c>
      <c r="K33" s="20">
        <v>5</v>
      </c>
      <c r="L33" s="19" t="str">
        <f>IF('Form. Tecnológico'!C209="","",'Form. Tecnológico'!C209)</f>
        <v/>
      </c>
      <c r="M33" s="21">
        <v>8</v>
      </c>
      <c r="N33" s="22" t="s">
        <v>6</v>
      </c>
      <c r="O33" s="2"/>
      <c r="P33" s="2"/>
    </row>
    <row r="34" spans="1:16" ht="24" customHeight="1" x14ac:dyDescent="0.3">
      <c r="A34" s="18" t="s">
        <v>54</v>
      </c>
      <c r="B34" s="19" t="str">
        <f>IF('Form. Tecnológico'!C40="","",'Form. Tecnológico'!C40)</f>
        <v>Sim</v>
      </c>
      <c r="C34" s="20">
        <v>10</v>
      </c>
      <c r="D34" s="19" t="str">
        <f>IF('Form. Tecnológico'!C74="","",'Form. Tecnológico'!C74)</f>
        <v/>
      </c>
      <c r="E34" s="20"/>
      <c r="F34" s="19" t="str">
        <f>IF('Form. Tecnológico'!C108="","",'Form. Tecnológico'!C108)</f>
        <v/>
      </c>
      <c r="G34" s="20">
        <v>7</v>
      </c>
      <c r="H34" s="19" t="str">
        <f>IF('Form. Tecnológico'!C142="","",'Form. Tecnológico'!C142)</f>
        <v/>
      </c>
      <c r="I34" s="20">
        <v>10</v>
      </c>
      <c r="J34" s="19" t="str">
        <f>IF('Form. Tecnológico'!C176="","",'Form. Tecnológico'!C176)</f>
        <v/>
      </c>
      <c r="K34" s="20">
        <v>5</v>
      </c>
      <c r="L34" s="19" t="str">
        <f>IF('Form. Tecnológico'!C210="","",'Form. Tecnológico'!C210)</f>
        <v/>
      </c>
      <c r="M34" s="21">
        <v>4</v>
      </c>
      <c r="N34" s="22" t="s">
        <v>6</v>
      </c>
      <c r="O34" s="2"/>
      <c r="P34" s="2"/>
    </row>
    <row r="35" spans="1:16" ht="26.1" customHeight="1" thickBot="1" x14ac:dyDescent="0.35">
      <c r="A35" s="25" t="s">
        <v>24</v>
      </c>
      <c r="B35" s="26"/>
      <c r="C35" s="27">
        <f>IF($N7="Sim",IFERROR(N(C7),0),0)+IF($N9="Sim",IFERROR(N(C9),0),0)+IF($N10="Sim",IFERROR(N(C10),0),0)+IF($N12="Sim",IFERROR(N(C12),0),0)+IF($N13="Sim",IFERROR(N(C13),0),0)+IF($N14="Sim",IFERROR(N(C14),0),0)+IF($N15="Sim",IFERROR(N(C15),0),0)+IF($N16="Sim",IFERROR(N(C16),0),0)+IF($N17="Sim",IFERROR(N(C17),0),0)+IF($N18="Sim",IFERROR(N(C18),0),0)+IF($N19="Sim",IFERROR(N(C19),0),0)+IF($N21="Sim",IFERROR(N(C21),0),0)+IF($N22="Sim",IFERROR(N(C22),0),0)+IF($N23="Sim",IFERROR(N(C23),0),0)+IF($N24="Sim",IFERROR(N(C24),0),0)+IF($N26="Sim",IFERROR(N(C26),0),0)+IF($N32="Sim",IFERROR(N(C32),0),0)+IF($N33="Sim",IFERROR(N(C33),0),0)+IF($N34="Sim",IFERROR(N(C34),0),0)</f>
        <v>164</v>
      </c>
      <c r="D35" s="26"/>
      <c r="E35" s="27">
        <f>IF($N7="Sim",IFERROR(N(E7),0),0)+IF($N9="Sim",IFERROR(N(E9),0),0)+IF($N10="Sim",IFERROR(N(E10),0),0)+IF($N12="Sim",IFERROR(N(E12),0),0)+IF($N13="Sim",IFERROR(N(E13),0),0)+IF($N14="Sim",IFERROR(N(E14),0),0)+IF($N15="Sim",IFERROR(N(E15),0),0)+IF($N16="Sim",IFERROR(N(E16),0),0)+IF($N17="Sim",IFERROR(N(E17),0),0)+IF($N18="Sim",IFERROR(N(E18),0),0)+IF($N19="Sim",IFERROR(N(E19),0),0)+IF($N21="Sim",IFERROR(N(E21),0),0)+IF($N22="Sim",IFERROR(N(E22),0),0)+IF($N23="Sim",IFERROR(N(E23),0),0)+IF($N24="Sim",IFERROR(N(E24),0),0)+IF($N26="Sim",IFERROR(N(E26),0),0)+IF($N32="Sim",IFERROR(N(E32),0),0)+IF($N33="Sim",IFERROR(N(E33),0),0)+IF($N34="Sim",IFERROR(N(E34),0),0)</f>
        <v>172</v>
      </c>
      <c r="F35" s="26"/>
      <c r="G35" s="27">
        <f>IF($N7="Sim",IFERROR(N(G7),0),0)+IF($N9="Sim",IFERROR(N(G9),0),0)+IF($N10="Sim",IFERROR(N(G10),0),0)+IF($N12="Sim",IFERROR(N(G12),0),0)+IF($N13="Sim",IFERROR(N(G13),0),0)+IF($N14="Sim",IFERROR(N(G14),0),0)+IF($N15="Sim",IFERROR(N(G15),0),0)+IF($N16="Sim",IFERROR(N(G16),0),0)+IF($N17="Sim",IFERROR(N(G17),0),0)+IF($N18="Sim",IFERROR(N(G18),0),0)+IF($N19="Sim",IFERROR(N(G19),0),0)+IF($N21="Sim",IFERROR(N(G21),0),0)+IF($N22="Sim",IFERROR(N(G22),0),0)+IF($N23="Sim",IFERROR(N(G23),0),0)+IF($N24="Sim",IFERROR(N(G24),0),0)+IF($N26="Sim",IFERROR(N(G26),0),0)+IF($N32="Sim",IFERROR(N(G32),0),0)+IF($N33="Sim",IFERROR(N(G33),0),0)+IF($N34="Sim",IFERROR(N(G34),0),0)</f>
        <v>152</v>
      </c>
      <c r="H35" s="26"/>
      <c r="I35" s="27">
        <f>IF($N7="Sim",IFERROR(N(I7),0),0)+IF($N9="Sim",IFERROR(N(I9),0),0)+IF($N10="Sim",IFERROR(N(I10),0),0)+IF($N12="Sim",IFERROR(N(I12),0),0)+IF($N13="Sim",IFERROR(N(I13),0),0)+IF($N14="Sim",IFERROR(N(I14),0),0)+IF($N15="Sim",IFERROR(N(I15),0),0)+IF($N16="Sim",IFERROR(N(I16),0),0)+IF($N17="Sim",IFERROR(N(I17),0),0)+IF($N18="Sim",IFERROR(N(I18),0),0)+IF($N19="Sim",IFERROR(N(I19),0),0)+IF($N21="Sim",IFERROR(N(I21),0),0)+IF($N22="Sim",IFERROR(N(I22),0),0)+IF($N23="Sim",IFERROR(N(I23),0),0)+IF($N24="Sim",IFERROR(N(I24),0),0)+IF($N26="Sim",IFERROR(N(I26),0),0)+IF($N32="Sim",IFERROR(N(I32),0),0)+IF($N33="Sim",IFERROR(N(I33),0),0)+IF($N34="Sim",IFERROR(N(I34),0),0)</f>
        <v>166</v>
      </c>
      <c r="J35" s="26"/>
      <c r="K35" s="27">
        <f>IF($N7="Sim",IFERROR(N(K7),0),0)+IF($N9="Sim",IFERROR(N(K9),0),0)+IF($N10="Sim",IFERROR(N(K10),0),0)+IF($N12="Sim",IFERROR(N(K12),0),0)+IF($N13="Sim",IFERROR(N(K13),0),0)+IF($N14="Sim",IFERROR(N(K14),0),0)+IF($N15="Sim",IFERROR(N(K15),0),0)+IF($N16="Sim",IFERROR(N(K16),0),0)+IF($N17="Sim",IFERROR(N(K17),0),0)+IF($N18="Sim",IFERROR(N(K18),0),0)+IF($N19="Sim",IFERROR(N(K19),0),0)+IF($N21="Sim",IFERROR(N(K21),0),0)+IF($N22="Sim",IFERROR(N(K22),0),0)+IF($N23="Sim",IFERROR(N(K23),0),0)+IF($N24="Sim",IFERROR(N(K24),0),0)+IF($N26="Sim",IFERROR(N(K26),0),0)+IF($N32="Sim",IFERROR(N(K32),0),0)+IF($N33="Sim",IFERROR(N(K33),0),0)+IF($N34="Sim",IFERROR(N(K34),0),0)</f>
        <v>137</v>
      </c>
      <c r="L35" s="26"/>
      <c r="M35" s="28">
        <f>IF($N7="Sim",IFERROR(N(M7),0),0)+IF($N9="Sim",IFERROR(N(M9),0),0)+IF($N10="Sim",IFERROR(N(M10),0),0)+IF($N12="Sim",IFERROR(N(M12),0),0)+IF($N13="Sim",IFERROR(N(M13),0),0)+IF($N14="Sim",IFERROR(N(M14),0),0)+IF($N15="Sim",IFERROR(N(M15),0),0)+IF($N16="Sim",IFERROR(N(M16),0),0)+IF($N17="Sim",IFERROR(N(M17),0),0)+IF($N18="Sim",IFERROR(N(M18),0),0)+IF($N19="Sim",IFERROR(N(M19),0),0)+IF($N21="Sim",IFERROR(N(M21),0),0)+IF($N22="Sim",IFERROR(N(M22),0),0)+IF($N23="Sim",IFERROR(N(M23),0),0)+IF($N24="Sim",IFERROR(N(M24),0),0)+IF($N26="Sim",IFERROR(N(M26),0),0)+IF($N32="Sim",IFERROR(N(M32),0),0)+IF($N33="Sim",IFERROR(N(M33),0),0)+IF($N34="Sim",IFERROR(N(M34),0),0)</f>
        <v>161</v>
      </c>
      <c r="N35" s="2"/>
      <c r="O35" s="2"/>
      <c r="P35" s="2"/>
    </row>
    <row r="36" spans="1:16" ht="16.5" x14ac:dyDescent="0.3">
      <c r="A36" s="29" t="s">
        <v>215</v>
      </c>
      <c r="B36" s="2"/>
      <c r="C36" s="30">
        <f>COUNTIF($N$7:$N$34,"Sim")</f>
        <v>19</v>
      </c>
      <c r="D36" s="2"/>
      <c r="E36" s="30">
        <f>COUNTIF($N$7:$N$34,"Sim")</f>
        <v>19</v>
      </c>
      <c r="F36" s="2"/>
      <c r="G36" s="30">
        <f>COUNTIF($N$7:$N$34,"Sim")</f>
        <v>19</v>
      </c>
      <c r="H36" s="2"/>
      <c r="I36" s="30">
        <f>COUNTIF($N$7:$N$34,"Sim")</f>
        <v>19</v>
      </c>
      <c r="J36" s="2"/>
      <c r="K36" s="30">
        <f>COUNTIF($N$7:$N$34,"Sim")</f>
        <v>19</v>
      </c>
      <c r="L36" s="2"/>
      <c r="M36" s="30">
        <f>COUNTIF($N$7:$N$34,"Sim")</f>
        <v>19</v>
      </c>
      <c r="N36" s="2"/>
      <c r="O36" s="2"/>
      <c r="P36" s="2"/>
    </row>
    <row r="37" spans="1:16" ht="16.5" x14ac:dyDescent="0.3">
      <c r="A37" s="29" t="s">
        <v>214</v>
      </c>
      <c r="B37" s="2"/>
      <c r="C37" s="30">
        <f>COUNTIF($N$7:$N$34,"Sim")*10</f>
        <v>190</v>
      </c>
      <c r="D37" s="2"/>
      <c r="E37" s="30">
        <f>COUNTIF($N$7:$N$34,"Sim")*10</f>
        <v>190</v>
      </c>
      <c r="F37" s="2"/>
      <c r="G37" s="30">
        <f>COUNTIF($N$7:$N$34,"Sim")*10</f>
        <v>190</v>
      </c>
      <c r="H37" s="2"/>
      <c r="I37" s="30">
        <f>COUNTIF($N$7:$N$34,"Sim")*10</f>
        <v>190</v>
      </c>
      <c r="J37" s="2"/>
      <c r="K37" s="30">
        <f>COUNTIF($N$7:$N$34,"Sim")*10</f>
        <v>190</v>
      </c>
      <c r="L37" s="2"/>
      <c r="M37" s="30">
        <f>COUNTIF($N$7:$N$34,"Sim")*10</f>
        <v>190</v>
      </c>
      <c r="N37" s="2"/>
      <c r="O37" s="2"/>
      <c r="P37" s="2"/>
    </row>
    <row r="39" spans="1:16" x14ac:dyDescent="0.25">
      <c r="A39" s="94" t="s">
        <v>341</v>
      </c>
    </row>
    <row r="40" spans="1:16" ht="48.75" x14ac:dyDescent="0.25">
      <c r="A40" s="94" t="s">
        <v>340</v>
      </c>
    </row>
  </sheetData>
  <sheetProtection sheet="1" objects="1" scenarios="1" formatCells="0" formatColumns="0" formatRows="0"/>
  <mergeCells count="11">
    <mergeCell ref="A25:M25"/>
    <mergeCell ref="A27:M27"/>
    <mergeCell ref="A1:M1"/>
    <mergeCell ref="A2:D2"/>
    <mergeCell ref="E2:H2"/>
    <mergeCell ref="I2:M2"/>
    <mergeCell ref="A4:M4"/>
    <mergeCell ref="A6:M6"/>
    <mergeCell ref="A8:M8"/>
    <mergeCell ref="A11:M11"/>
    <mergeCell ref="A20:M20"/>
  </mergeCells>
  <conditionalFormatting sqref="N7:N34">
    <cfRule type="cellIs" dxfId="1" priority="1" operator="equal">
      <formula>"Sim"</formula>
    </cfRule>
  </conditionalFormatting>
  <conditionalFormatting sqref="N7:N34">
    <cfRule type="cellIs" dxfId="0" priority="2" operator="equal">
      <formula>"Não"</formula>
    </cfRule>
  </conditionalFormatting>
  <dataValidations xWindow="1003" yWindow="675" count="7">
    <dataValidation type="list" allowBlank="1" showInputMessage="1" showErrorMessage="1" errorTitle="Valor inválido" error="Selecione uma opção da lista." sqref="C6:C34" xr:uid="{4142B106-7022-4F1C-A4C7-344D5AE469B6}">
      <formula1>"1,2,3,4,5,6,7,8,9,10"</formula1>
    </dataValidation>
    <dataValidation type="list" allowBlank="1" showInputMessage="1" showErrorMessage="1" errorTitle="Valor inválido" error="Selecione uma opção da lista." sqref="E6:E34" xr:uid="{7102E715-4187-45F0-9CC8-ACF4B5C067AA}">
      <formula1>"1,2,3,4,5,6,7,8,9,10"</formula1>
    </dataValidation>
    <dataValidation type="list" allowBlank="1" showInputMessage="1" showErrorMessage="1" errorTitle="Valor inválido" error="Selecione uma opção da lista." sqref="G6:G34" xr:uid="{80B50863-F100-46E2-A8E9-FEE7828F94E1}">
      <formula1>"1,2,3,4,5,6,7,8,9,10"</formula1>
    </dataValidation>
    <dataValidation type="list" allowBlank="1" showInputMessage="1" showErrorMessage="1" errorTitle="Valor inválido" error="Selecione uma opção da lista." sqref="I6:I34" xr:uid="{9F742188-664C-45CB-9D9B-D2D08F08BB19}">
      <formula1>"1,2,3,4,5,6,7,8,9,10"</formula1>
    </dataValidation>
    <dataValidation type="list" allowBlank="1" showInputMessage="1" showErrorMessage="1" errorTitle="Valor inválido" error="Selecione uma opção da lista." sqref="K6:K34" xr:uid="{ADE9CBB4-2CB6-4679-AC1E-367E3C458062}">
      <formula1>"1,2,3,4,5,6,7,8,9,10"</formula1>
    </dataValidation>
    <dataValidation type="list" allowBlank="1" showInputMessage="1" showErrorMessage="1" errorTitle="Valor inválido" error="Selecione uma opção da lista." sqref="M6:M34" xr:uid="{74EC491D-7EA5-4889-8FE0-B4E2A9DD8A8D}">
      <formula1>"1,2,3,4,5,6,7,8,9,10"</formula1>
    </dataValidation>
    <dataValidation type="list" allowBlank="1" showInputMessage="1" showErrorMessage="1" errorTitle="Valor inválido" error="Selecione uma opção da lista." sqref="N6:N34" xr:uid="{A96C3083-1279-4549-98EC-6CCB2C789F09}">
      <formula1>"Sim,Não"</formula1>
    </dataValidation>
  </dataValidations>
  <hyperlinks>
    <hyperlink ref="A2" location="'Form. Tecnológico'!A1" display="← Voltar ao Form. Tecnológico" xr:uid="{73817F29-96E3-4B0D-8DDD-CA680E750904}"/>
    <hyperlink ref="E2" location="'🏠 Início'!A1" display="🏠 Início" xr:uid="{67C8417C-545E-46C5-BE46-D14AC95EE73E}"/>
    <hyperlink ref="I2" location="'Form. Financeiro'!A1" display="Próximo: Form. Financeiro →" xr:uid="{EAE1DE19-578C-47E3-B1DB-455C585EDA18}"/>
  </hyperlink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A463D-E52F-40D9-AC62-E6C8A09CEE5A}">
  <sheetPr codeName="Planilha6">
    <tabColor rgb="FF2E5FA3"/>
  </sheetPr>
  <dimension ref="A1:I147"/>
  <sheetViews>
    <sheetView workbookViewId="0">
      <selection activeCell="C5" sqref="C5"/>
    </sheetView>
  </sheetViews>
  <sheetFormatPr defaultRowHeight="15" x14ac:dyDescent="0.25"/>
  <cols>
    <col min="1" max="1" width="5.7109375" customWidth="1"/>
    <col min="2" max="2" width="66.7109375" customWidth="1"/>
    <col min="3" max="3" width="38.140625" customWidth="1"/>
    <col min="4" max="9" width="13.28515625" customWidth="1"/>
  </cols>
  <sheetData>
    <row r="1" spans="2:9" ht="9.9499999999999993" customHeight="1" x14ac:dyDescent="0.25"/>
    <row r="2" spans="2:9" ht="39.950000000000003" customHeight="1" x14ac:dyDescent="0.3">
      <c r="B2" s="129" t="s">
        <v>192</v>
      </c>
      <c r="C2" s="125"/>
      <c r="D2" s="2"/>
      <c r="E2" s="2"/>
      <c r="F2" s="2"/>
      <c r="G2" s="2"/>
      <c r="H2" s="2"/>
      <c r="I2" s="2"/>
    </row>
    <row r="3" spans="2:9" ht="21.95" customHeight="1" x14ac:dyDescent="0.3">
      <c r="B3" s="145" t="s">
        <v>222</v>
      </c>
      <c r="C3" s="125"/>
      <c r="D3" s="2"/>
      <c r="E3" s="2"/>
      <c r="F3" s="2"/>
      <c r="G3" s="2"/>
      <c r="H3" s="2"/>
      <c r="I3" s="2"/>
    </row>
    <row r="4" spans="2:9" ht="9.9499999999999993" customHeight="1" thickBot="1" x14ac:dyDescent="0.35">
      <c r="B4" s="2"/>
      <c r="C4" s="2"/>
      <c r="D4" s="2"/>
      <c r="E4" s="2"/>
      <c r="F4" s="2"/>
      <c r="G4" s="2"/>
      <c r="H4" s="2"/>
      <c r="I4" s="2"/>
    </row>
    <row r="5" spans="2:9" ht="24" customHeight="1" thickBot="1" x14ac:dyDescent="0.35">
      <c r="B5" s="89" t="s">
        <v>196</v>
      </c>
      <c r="C5" s="90" t="s">
        <v>197</v>
      </c>
      <c r="D5" s="2"/>
      <c r="E5" s="2"/>
      <c r="F5" s="2"/>
      <c r="G5" s="2"/>
      <c r="H5" s="2"/>
      <c r="I5" s="2"/>
    </row>
    <row r="6" spans="2:9" ht="27.95" customHeight="1" x14ac:dyDescent="0.3">
      <c r="B6" s="2"/>
      <c r="C6" s="2"/>
      <c r="D6" s="2"/>
      <c r="E6" s="2"/>
      <c r="F6" s="2"/>
      <c r="G6" s="2"/>
      <c r="H6" s="2"/>
      <c r="I6" s="2"/>
    </row>
    <row r="7" spans="2:9" ht="15.95" customHeight="1" thickBot="1" x14ac:dyDescent="0.35">
      <c r="B7" s="2"/>
      <c r="C7" s="2"/>
      <c r="D7" s="123" t="s">
        <v>210</v>
      </c>
      <c r="E7" s="125"/>
      <c r="F7" s="125"/>
      <c r="G7" s="125"/>
      <c r="H7" s="125"/>
      <c r="I7" s="125"/>
    </row>
    <row r="8" spans="2:9" ht="27.95" customHeight="1" thickBot="1" x14ac:dyDescent="0.35">
      <c r="B8" s="126" t="s">
        <v>161</v>
      </c>
      <c r="C8" s="127"/>
      <c r="D8" s="5">
        <v>1</v>
      </c>
      <c r="E8" s="91">
        <v>2</v>
      </c>
      <c r="F8" s="91">
        <v>3</v>
      </c>
      <c r="G8" s="91">
        <v>4</v>
      </c>
      <c r="H8" s="91">
        <v>5</v>
      </c>
      <c r="I8" s="92">
        <v>6</v>
      </c>
    </row>
    <row r="9" spans="2:9" ht="27.95" customHeight="1" x14ac:dyDescent="0.3">
      <c r="B9" s="31" t="s">
        <v>189</v>
      </c>
      <c r="C9" s="32" t="str">
        <f>'Form. Empresa'!C9</f>
        <v>RENOVA</v>
      </c>
      <c r="D9" s="2"/>
      <c r="E9" s="2"/>
      <c r="F9" s="2"/>
      <c r="G9" s="2"/>
      <c r="H9" s="2"/>
      <c r="I9" s="2"/>
    </row>
    <row r="10" spans="2:9" ht="27.95" customHeight="1" x14ac:dyDescent="0.3">
      <c r="B10" s="121" t="s">
        <v>162</v>
      </c>
      <c r="C10" s="122"/>
      <c r="D10" s="2"/>
      <c r="E10" s="2"/>
      <c r="F10" s="2"/>
      <c r="G10" s="2"/>
      <c r="H10" s="2"/>
      <c r="I10" s="2"/>
    </row>
    <row r="11" spans="2:9" ht="27.95" customHeight="1" x14ac:dyDescent="0.3">
      <c r="B11" s="10" t="s">
        <v>163</v>
      </c>
      <c r="C11" s="56">
        <v>698.3</v>
      </c>
      <c r="D11" s="2"/>
      <c r="E11" s="2"/>
      <c r="F11" s="2"/>
      <c r="G11" s="2"/>
      <c r="H11" s="2"/>
      <c r="I11" s="2"/>
    </row>
    <row r="12" spans="2:9" ht="27.95" customHeight="1" x14ac:dyDescent="0.3">
      <c r="B12" s="10" t="s">
        <v>164</v>
      </c>
      <c r="C12" s="56">
        <v>141.13999999999999</v>
      </c>
      <c r="D12" s="2"/>
      <c r="E12" s="2"/>
      <c r="F12" s="2"/>
      <c r="G12" s="2"/>
      <c r="H12" s="2"/>
      <c r="I12" s="2"/>
    </row>
    <row r="13" spans="2:9" ht="27.95" customHeight="1" x14ac:dyDescent="0.3">
      <c r="B13" s="10" t="s">
        <v>165</v>
      </c>
      <c r="C13" s="56">
        <v>557.16</v>
      </c>
      <c r="D13" s="2"/>
      <c r="E13" s="2"/>
      <c r="F13" s="2"/>
      <c r="G13" s="2"/>
      <c r="H13" s="2"/>
      <c r="I13" s="2"/>
    </row>
    <row r="14" spans="2:9" ht="27.95" customHeight="1" x14ac:dyDescent="0.3">
      <c r="B14" s="10" t="s">
        <v>166</v>
      </c>
      <c r="C14" s="56">
        <v>6685.92</v>
      </c>
      <c r="D14" s="2"/>
      <c r="E14" s="2"/>
      <c r="F14" s="2"/>
      <c r="G14" s="2"/>
      <c r="H14" s="2"/>
      <c r="I14" s="2"/>
    </row>
    <row r="15" spans="2:9" ht="27.95" customHeight="1" x14ac:dyDescent="0.3">
      <c r="B15" s="10" t="s">
        <v>167</v>
      </c>
      <c r="C15" s="56">
        <v>367455.61</v>
      </c>
      <c r="D15" s="2"/>
      <c r="E15" s="2"/>
      <c r="F15" s="2"/>
      <c r="G15" s="2"/>
      <c r="H15" s="2"/>
      <c r="I15" s="2"/>
    </row>
    <row r="16" spans="2:9" ht="26.1" customHeight="1" x14ac:dyDescent="0.3">
      <c r="B16" s="121" t="s">
        <v>168</v>
      </c>
      <c r="C16" s="122"/>
      <c r="D16" s="2"/>
      <c r="E16" s="2"/>
      <c r="F16" s="2"/>
      <c r="G16" s="2"/>
      <c r="H16" s="2"/>
      <c r="I16" s="2"/>
    </row>
    <row r="17" spans="2:9" ht="27.95" customHeight="1" x14ac:dyDescent="0.3">
      <c r="B17" s="10" t="s">
        <v>169</v>
      </c>
      <c r="C17" s="56">
        <v>17690</v>
      </c>
      <c r="D17" s="2"/>
      <c r="E17" s="2"/>
      <c r="F17" s="2"/>
      <c r="G17" s="2"/>
      <c r="H17" s="2"/>
      <c r="I17" s="2"/>
    </row>
    <row r="18" spans="2:9" ht="26.1" customHeight="1" x14ac:dyDescent="0.3">
      <c r="B18" s="121" t="s">
        <v>170</v>
      </c>
      <c r="C18" s="122"/>
      <c r="D18" s="2"/>
      <c r="E18" s="2"/>
      <c r="F18" s="2"/>
      <c r="G18" s="2"/>
      <c r="H18" s="2"/>
      <c r="I18" s="2"/>
    </row>
    <row r="19" spans="2:9" ht="27.95" customHeight="1" x14ac:dyDescent="0.3">
      <c r="B19" s="10" t="s">
        <v>171</v>
      </c>
      <c r="C19" s="56">
        <v>9029.9500000000007</v>
      </c>
      <c r="D19" s="2"/>
      <c r="E19" s="2"/>
      <c r="F19" s="2"/>
      <c r="G19" s="2"/>
      <c r="H19" s="2"/>
      <c r="I19" s="2"/>
    </row>
    <row r="20" spans="2:9" ht="27.95" customHeight="1" x14ac:dyDescent="0.3">
      <c r="B20" s="10" t="s">
        <v>172</v>
      </c>
      <c r="C20" s="97">
        <v>4330.0200000000004</v>
      </c>
      <c r="D20" s="2"/>
      <c r="E20" s="2"/>
      <c r="F20" s="2"/>
      <c r="G20" s="2"/>
      <c r="H20" s="2"/>
      <c r="I20" s="2"/>
    </row>
    <row r="21" spans="2:9" ht="27.95" customHeight="1" x14ac:dyDescent="0.3">
      <c r="B21" s="10" t="s">
        <v>173</v>
      </c>
      <c r="C21" s="97">
        <v>4330.0200000000004</v>
      </c>
      <c r="D21" s="2"/>
      <c r="E21" s="2"/>
      <c r="F21" s="2"/>
      <c r="G21" s="2"/>
      <c r="H21" s="2"/>
      <c r="I21" s="2"/>
    </row>
    <row r="22" spans="2:9" ht="26.1" customHeight="1" x14ac:dyDescent="0.3">
      <c r="B22" s="121" t="s">
        <v>174</v>
      </c>
      <c r="C22" s="122"/>
      <c r="D22" s="2"/>
      <c r="E22" s="2"/>
      <c r="F22" s="2"/>
      <c r="G22" s="2"/>
      <c r="H22" s="2"/>
      <c r="I22" s="2"/>
    </row>
    <row r="23" spans="2:9" ht="27.95" customHeight="1" x14ac:dyDescent="0.3">
      <c r="B23" s="10" t="s">
        <v>175</v>
      </c>
      <c r="C23" s="11" t="s">
        <v>71</v>
      </c>
      <c r="D23" s="2"/>
      <c r="E23" s="2"/>
      <c r="F23" s="2"/>
      <c r="G23" s="2"/>
      <c r="H23" s="2"/>
      <c r="I23" s="2"/>
    </row>
    <row r="24" spans="2:9" ht="27.95" customHeight="1" x14ac:dyDescent="0.3">
      <c r="B24" s="10" t="s">
        <v>176</v>
      </c>
      <c r="C24" s="11" t="s">
        <v>186</v>
      </c>
      <c r="D24" s="2"/>
      <c r="E24" s="2"/>
      <c r="F24" s="2"/>
      <c r="G24" s="2"/>
      <c r="H24" s="2"/>
      <c r="I24" s="2"/>
    </row>
    <row r="25" spans="2:9" ht="27.95" customHeight="1" x14ac:dyDescent="0.3">
      <c r="B25" s="10" t="s">
        <v>177</v>
      </c>
      <c r="C25" s="11" t="s">
        <v>76</v>
      </c>
      <c r="D25" s="2"/>
      <c r="E25" s="2"/>
      <c r="F25" s="2"/>
      <c r="G25" s="2"/>
      <c r="H25" s="2"/>
      <c r="I25" s="2"/>
    </row>
    <row r="26" spans="2:9" ht="26.1" customHeight="1" x14ac:dyDescent="0.3">
      <c r="B26" s="121" t="s">
        <v>178</v>
      </c>
      <c r="C26" s="122"/>
      <c r="D26" s="2"/>
      <c r="E26" s="2"/>
      <c r="F26" s="2"/>
      <c r="G26" s="2"/>
      <c r="H26" s="2"/>
      <c r="I26" s="2"/>
    </row>
    <row r="27" spans="2:9" ht="27.95" customHeight="1" x14ac:dyDescent="0.3">
      <c r="B27" s="10" t="s">
        <v>179</v>
      </c>
      <c r="C27" s="11" t="s">
        <v>187</v>
      </c>
      <c r="D27" s="2"/>
      <c r="E27" s="2"/>
      <c r="F27" s="2"/>
      <c r="G27" s="2"/>
      <c r="H27" s="2"/>
      <c r="I27" s="2"/>
    </row>
    <row r="28" spans="2:9" ht="27.95" customHeight="1" x14ac:dyDescent="0.3">
      <c r="B28" s="10" t="s">
        <v>180</v>
      </c>
      <c r="C28" s="11" t="s">
        <v>76</v>
      </c>
      <c r="D28" s="2"/>
      <c r="E28" s="2"/>
      <c r="F28" s="2"/>
      <c r="G28" s="2"/>
      <c r="H28" s="2"/>
      <c r="I28" s="2"/>
    </row>
    <row r="29" spans="2:9" ht="27.95" customHeight="1" x14ac:dyDescent="0.3">
      <c r="B29" s="10" t="s">
        <v>80</v>
      </c>
      <c r="C29" s="11" t="s">
        <v>188</v>
      </c>
      <c r="D29" s="2"/>
      <c r="E29" s="2"/>
      <c r="F29" s="2"/>
      <c r="G29" s="2"/>
      <c r="H29" s="2"/>
      <c r="I29" s="2"/>
    </row>
    <row r="30" spans="2:9" ht="15.95" customHeight="1" thickBot="1" x14ac:dyDescent="0.35">
      <c r="B30" s="2"/>
      <c r="C30" s="2"/>
      <c r="D30" s="123" t="s">
        <v>210</v>
      </c>
      <c r="E30" s="125"/>
      <c r="F30" s="125"/>
      <c r="G30" s="125"/>
      <c r="H30" s="125"/>
      <c r="I30" s="125"/>
    </row>
    <row r="31" spans="2:9" ht="32.1" customHeight="1" thickBot="1" x14ac:dyDescent="0.35">
      <c r="B31" s="126" t="s">
        <v>181</v>
      </c>
      <c r="C31" s="127"/>
      <c r="D31" s="91">
        <v>1</v>
      </c>
      <c r="E31" s="5">
        <v>2</v>
      </c>
      <c r="F31" s="91">
        <v>3</v>
      </c>
      <c r="G31" s="91">
        <v>4</v>
      </c>
      <c r="H31" s="91">
        <v>5</v>
      </c>
      <c r="I31" s="92">
        <v>6</v>
      </c>
    </row>
    <row r="32" spans="2:9" ht="32.1" customHeight="1" x14ac:dyDescent="0.3">
      <c r="B32" s="33" t="s">
        <v>189</v>
      </c>
      <c r="C32" s="32" t="str">
        <f>'Form. Empresa'!C29</f>
        <v>SOLI SOLAR</v>
      </c>
      <c r="D32" s="2"/>
      <c r="E32" s="2"/>
      <c r="F32" s="2"/>
      <c r="G32" s="2"/>
      <c r="H32" s="2"/>
      <c r="I32" s="2"/>
    </row>
    <row r="33" spans="2:9" ht="26.1" customHeight="1" x14ac:dyDescent="0.3">
      <c r="B33" s="121" t="s">
        <v>162</v>
      </c>
      <c r="C33" s="122"/>
      <c r="D33" s="2"/>
      <c r="E33" s="2"/>
      <c r="F33" s="2"/>
      <c r="G33" s="2"/>
      <c r="H33" s="2"/>
      <c r="I33" s="2"/>
    </row>
    <row r="34" spans="2:9" ht="27.95" customHeight="1" x14ac:dyDescent="0.3">
      <c r="B34" s="10" t="s">
        <v>163</v>
      </c>
      <c r="C34" s="56"/>
      <c r="D34" s="2"/>
      <c r="E34" s="2"/>
      <c r="F34" s="2"/>
      <c r="G34" s="2"/>
      <c r="H34" s="2"/>
      <c r="I34" s="2"/>
    </row>
    <row r="35" spans="2:9" ht="27.95" customHeight="1" x14ac:dyDescent="0.3">
      <c r="B35" s="10" t="s">
        <v>164</v>
      </c>
      <c r="C35" s="56"/>
      <c r="D35" s="2"/>
      <c r="E35" s="2"/>
      <c r="F35" s="2"/>
      <c r="G35" s="2"/>
      <c r="H35" s="2"/>
      <c r="I35" s="2"/>
    </row>
    <row r="36" spans="2:9" ht="27.95" customHeight="1" x14ac:dyDescent="0.3">
      <c r="B36" s="10" t="s">
        <v>165</v>
      </c>
      <c r="C36" s="56"/>
      <c r="D36" s="2"/>
      <c r="E36" s="2"/>
      <c r="F36" s="2"/>
      <c r="G36" s="2"/>
      <c r="H36" s="2"/>
      <c r="I36" s="2"/>
    </row>
    <row r="37" spans="2:9" ht="27.95" customHeight="1" x14ac:dyDescent="0.3">
      <c r="B37" s="10" t="s">
        <v>166</v>
      </c>
      <c r="C37" s="56"/>
      <c r="D37" s="2"/>
      <c r="E37" s="2"/>
      <c r="F37" s="2"/>
      <c r="G37" s="2"/>
      <c r="H37" s="2"/>
      <c r="I37" s="2"/>
    </row>
    <row r="38" spans="2:9" ht="27.95" customHeight="1" x14ac:dyDescent="0.3">
      <c r="B38" s="10" t="s">
        <v>167</v>
      </c>
      <c r="C38" s="56"/>
      <c r="D38" s="2"/>
      <c r="E38" s="2"/>
      <c r="F38" s="2"/>
      <c r="G38" s="2"/>
      <c r="H38" s="2"/>
      <c r="I38" s="2"/>
    </row>
    <row r="39" spans="2:9" ht="26.1" customHeight="1" x14ac:dyDescent="0.3">
      <c r="B39" s="121" t="s">
        <v>168</v>
      </c>
      <c r="C39" s="122"/>
      <c r="D39" s="2"/>
      <c r="E39" s="2"/>
      <c r="F39" s="2"/>
      <c r="G39" s="2"/>
      <c r="H39" s="2"/>
      <c r="I39" s="2"/>
    </row>
    <row r="40" spans="2:9" ht="27.95" customHeight="1" x14ac:dyDescent="0.3">
      <c r="B40" s="10" t="s">
        <v>169</v>
      </c>
      <c r="C40" s="56">
        <v>16342</v>
      </c>
      <c r="D40" s="2"/>
      <c r="E40" s="2"/>
      <c r="F40" s="2"/>
      <c r="G40" s="2"/>
      <c r="H40" s="2"/>
      <c r="I40" s="2"/>
    </row>
    <row r="41" spans="2:9" ht="26.1" customHeight="1" x14ac:dyDescent="0.3">
      <c r="B41" s="121" t="s">
        <v>170</v>
      </c>
      <c r="C41" s="122"/>
      <c r="D41" s="2"/>
      <c r="E41" s="2"/>
      <c r="F41" s="2"/>
      <c r="G41" s="2"/>
      <c r="H41" s="2"/>
      <c r="I41" s="2"/>
    </row>
    <row r="42" spans="2:9" ht="27.95" customHeight="1" x14ac:dyDescent="0.3">
      <c r="B42" s="10" t="s">
        <v>171</v>
      </c>
      <c r="C42" s="56"/>
      <c r="D42" s="2"/>
      <c r="E42" s="2"/>
      <c r="F42" s="2"/>
      <c r="G42" s="2"/>
      <c r="H42" s="2"/>
      <c r="I42" s="2"/>
    </row>
    <row r="43" spans="2:9" ht="27.95" customHeight="1" x14ac:dyDescent="0.3">
      <c r="B43" s="10" t="s">
        <v>172</v>
      </c>
      <c r="C43" s="11"/>
      <c r="D43" s="2"/>
      <c r="E43" s="2"/>
      <c r="F43" s="2"/>
      <c r="G43" s="2"/>
      <c r="H43" s="2"/>
      <c r="I43" s="2"/>
    </row>
    <row r="44" spans="2:9" ht="27.95" customHeight="1" x14ac:dyDescent="0.3">
      <c r="B44" s="10" t="s">
        <v>173</v>
      </c>
      <c r="C44" s="11"/>
      <c r="D44" s="2"/>
      <c r="E44" s="2"/>
      <c r="F44" s="2"/>
      <c r="G44" s="2"/>
      <c r="H44" s="2"/>
      <c r="I44" s="2"/>
    </row>
    <row r="45" spans="2:9" ht="26.1" customHeight="1" x14ac:dyDescent="0.3">
      <c r="B45" s="121" t="s">
        <v>174</v>
      </c>
      <c r="C45" s="122"/>
      <c r="D45" s="2"/>
      <c r="E45" s="2"/>
      <c r="F45" s="2"/>
      <c r="G45" s="2"/>
      <c r="H45" s="2"/>
      <c r="I45" s="2"/>
    </row>
    <row r="46" spans="2:9" ht="27.95" customHeight="1" x14ac:dyDescent="0.3">
      <c r="B46" s="10" t="s">
        <v>175</v>
      </c>
      <c r="C46" s="11"/>
      <c r="D46" s="2"/>
      <c r="E46" s="2"/>
      <c r="F46" s="2"/>
      <c r="G46" s="2"/>
      <c r="H46" s="2"/>
      <c r="I46" s="2"/>
    </row>
    <row r="47" spans="2:9" ht="27.95" customHeight="1" x14ac:dyDescent="0.3">
      <c r="B47" s="10" t="s">
        <v>176</v>
      </c>
      <c r="C47" s="11"/>
      <c r="D47" s="2"/>
      <c r="E47" s="2"/>
      <c r="F47" s="2"/>
      <c r="G47" s="2"/>
      <c r="H47" s="2"/>
      <c r="I47" s="2"/>
    </row>
    <row r="48" spans="2:9" ht="27.95" customHeight="1" x14ac:dyDescent="0.3">
      <c r="B48" s="10" t="s">
        <v>177</v>
      </c>
      <c r="C48" s="11"/>
      <c r="D48" s="2"/>
      <c r="E48" s="2"/>
      <c r="F48" s="2"/>
      <c r="G48" s="2"/>
      <c r="H48" s="2"/>
      <c r="I48" s="2"/>
    </row>
    <row r="49" spans="2:9" ht="26.1" customHeight="1" x14ac:dyDescent="0.3">
      <c r="B49" s="121" t="s">
        <v>178</v>
      </c>
      <c r="C49" s="122"/>
      <c r="D49" s="2"/>
      <c r="E49" s="2"/>
      <c r="F49" s="2"/>
      <c r="G49" s="2"/>
      <c r="H49" s="2"/>
      <c r="I49" s="2"/>
    </row>
    <row r="50" spans="2:9" ht="27.95" customHeight="1" x14ac:dyDescent="0.3">
      <c r="B50" s="10" t="s">
        <v>179</v>
      </c>
      <c r="C50" s="11"/>
      <c r="D50" s="2"/>
      <c r="E50" s="2"/>
      <c r="F50" s="2"/>
      <c r="G50" s="2"/>
      <c r="H50" s="2"/>
      <c r="I50" s="2"/>
    </row>
    <row r="51" spans="2:9" ht="27.95" customHeight="1" x14ac:dyDescent="0.3">
      <c r="B51" s="10" t="s">
        <v>180</v>
      </c>
      <c r="C51" s="11"/>
      <c r="D51" s="2"/>
      <c r="E51" s="2"/>
      <c r="F51" s="2"/>
      <c r="G51" s="2"/>
      <c r="H51" s="2"/>
      <c r="I51" s="2"/>
    </row>
    <row r="52" spans="2:9" ht="27.95" customHeight="1" x14ac:dyDescent="0.3">
      <c r="B52" s="10" t="s">
        <v>80</v>
      </c>
      <c r="C52" s="11"/>
      <c r="D52" s="2"/>
      <c r="E52" s="2"/>
      <c r="F52" s="2"/>
      <c r="G52" s="2"/>
      <c r="H52" s="2"/>
      <c r="I52" s="2"/>
    </row>
    <row r="53" spans="2:9" ht="15.95" customHeight="1" thickBot="1" x14ac:dyDescent="0.35">
      <c r="B53" s="2"/>
      <c r="C53" s="2"/>
      <c r="D53" s="123" t="s">
        <v>210</v>
      </c>
      <c r="E53" s="125"/>
      <c r="F53" s="125"/>
      <c r="G53" s="125"/>
      <c r="H53" s="125"/>
      <c r="I53" s="125"/>
    </row>
    <row r="54" spans="2:9" ht="32.1" customHeight="1" thickBot="1" x14ac:dyDescent="0.35">
      <c r="B54" s="126" t="s">
        <v>182</v>
      </c>
      <c r="C54" s="127"/>
      <c r="D54" s="91">
        <v>1</v>
      </c>
      <c r="E54" s="91">
        <v>2</v>
      </c>
      <c r="F54" s="5">
        <v>3</v>
      </c>
      <c r="G54" s="91">
        <v>4</v>
      </c>
      <c r="H54" s="91">
        <v>5</v>
      </c>
      <c r="I54" s="92">
        <v>6</v>
      </c>
    </row>
    <row r="55" spans="2:9" ht="32.1" customHeight="1" x14ac:dyDescent="0.3">
      <c r="B55" s="33" t="s">
        <v>189</v>
      </c>
      <c r="C55" s="32" t="str">
        <f>'Form. Empresa'!C49</f>
        <v>ENERGIA SGE</v>
      </c>
      <c r="D55" s="2"/>
      <c r="E55" s="2"/>
      <c r="F55" s="2"/>
      <c r="G55" s="2"/>
      <c r="H55" s="2"/>
      <c r="I55" s="2"/>
    </row>
    <row r="56" spans="2:9" ht="26.1" customHeight="1" x14ac:dyDescent="0.3">
      <c r="B56" s="121" t="s">
        <v>162</v>
      </c>
      <c r="C56" s="122"/>
      <c r="D56" s="2"/>
      <c r="E56" s="2"/>
      <c r="F56" s="2"/>
      <c r="G56" s="2"/>
      <c r="H56" s="2"/>
      <c r="I56" s="2"/>
    </row>
    <row r="57" spans="2:9" ht="27.95" customHeight="1" x14ac:dyDescent="0.3">
      <c r="B57" s="10" t="s">
        <v>163</v>
      </c>
      <c r="C57" s="56"/>
      <c r="D57" s="2"/>
      <c r="E57" s="2"/>
      <c r="F57" s="2"/>
      <c r="G57" s="2"/>
      <c r="H57" s="2"/>
      <c r="I57" s="2"/>
    </row>
    <row r="58" spans="2:9" ht="27.95" customHeight="1" x14ac:dyDescent="0.3">
      <c r="B58" s="10" t="s">
        <v>164</v>
      </c>
      <c r="C58" s="56"/>
      <c r="D58" s="2"/>
      <c r="E58" s="2"/>
      <c r="F58" s="2"/>
      <c r="G58" s="2"/>
      <c r="H58" s="2"/>
      <c r="I58" s="2"/>
    </row>
    <row r="59" spans="2:9" ht="27.95" customHeight="1" x14ac:dyDescent="0.3">
      <c r="B59" s="10" t="s">
        <v>165</v>
      </c>
      <c r="C59" s="56"/>
      <c r="D59" s="2"/>
      <c r="E59" s="2"/>
      <c r="F59" s="2"/>
      <c r="G59" s="2"/>
      <c r="H59" s="2"/>
      <c r="I59" s="2"/>
    </row>
    <row r="60" spans="2:9" ht="27.95" customHeight="1" x14ac:dyDescent="0.3">
      <c r="B60" s="10" t="s">
        <v>166</v>
      </c>
      <c r="C60" s="56"/>
      <c r="D60" s="2"/>
      <c r="E60" s="2"/>
      <c r="F60" s="2"/>
      <c r="G60" s="2"/>
      <c r="H60" s="2"/>
      <c r="I60" s="2"/>
    </row>
    <row r="61" spans="2:9" ht="27.95" customHeight="1" x14ac:dyDescent="0.3">
      <c r="B61" s="10" t="s">
        <v>167</v>
      </c>
      <c r="C61" s="56"/>
      <c r="D61" s="2"/>
      <c r="E61" s="2"/>
      <c r="F61" s="2"/>
      <c r="G61" s="2"/>
      <c r="H61" s="2"/>
      <c r="I61" s="2"/>
    </row>
    <row r="62" spans="2:9" ht="26.1" customHeight="1" x14ac:dyDescent="0.3">
      <c r="B62" s="121" t="s">
        <v>168</v>
      </c>
      <c r="C62" s="122"/>
      <c r="D62" s="2"/>
      <c r="E62" s="2"/>
      <c r="F62" s="2"/>
      <c r="G62" s="2"/>
      <c r="H62" s="2"/>
      <c r="I62" s="2"/>
    </row>
    <row r="63" spans="2:9" ht="27.95" customHeight="1" x14ac:dyDescent="0.3">
      <c r="B63" s="10" t="s">
        <v>169</v>
      </c>
      <c r="C63" s="56">
        <v>15900</v>
      </c>
      <c r="D63" s="2"/>
      <c r="E63" s="2"/>
      <c r="F63" s="2"/>
      <c r="G63" s="2"/>
      <c r="H63" s="2"/>
      <c r="I63" s="2"/>
    </row>
    <row r="64" spans="2:9" ht="26.1" customHeight="1" x14ac:dyDescent="0.3">
      <c r="B64" s="121" t="s">
        <v>170</v>
      </c>
      <c r="C64" s="122"/>
      <c r="D64" s="2"/>
      <c r="E64" s="2"/>
      <c r="F64" s="2"/>
      <c r="G64" s="2"/>
      <c r="H64" s="2"/>
      <c r="I64" s="2"/>
    </row>
    <row r="65" spans="2:9" ht="27.95" customHeight="1" x14ac:dyDescent="0.3">
      <c r="B65" s="10" t="s">
        <v>171</v>
      </c>
      <c r="C65" s="56"/>
      <c r="D65" s="2"/>
      <c r="E65" s="2"/>
      <c r="F65" s="2"/>
      <c r="G65" s="2"/>
      <c r="H65" s="2"/>
      <c r="I65" s="2"/>
    </row>
    <row r="66" spans="2:9" ht="27.95" customHeight="1" x14ac:dyDescent="0.3">
      <c r="B66" s="10" t="s">
        <v>172</v>
      </c>
      <c r="C66" s="11"/>
      <c r="D66" s="2"/>
      <c r="E66" s="2"/>
      <c r="F66" s="2"/>
      <c r="G66" s="2"/>
      <c r="H66" s="2"/>
      <c r="I66" s="2"/>
    </row>
    <row r="67" spans="2:9" ht="27.95" customHeight="1" x14ac:dyDescent="0.3">
      <c r="B67" s="10" t="s">
        <v>173</v>
      </c>
      <c r="C67" s="11"/>
      <c r="D67" s="2"/>
      <c r="E67" s="2"/>
      <c r="F67" s="2"/>
      <c r="G67" s="2"/>
      <c r="H67" s="2"/>
      <c r="I67" s="2"/>
    </row>
    <row r="68" spans="2:9" ht="26.1" customHeight="1" x14ac:dyDescent="0.3">
      <c r="B68" s="121" t="s">
        <v>174</v>
      </c>
      <c r="C68" s="122"/>
      <c r="D68" s="2"/>
      <c r="E68" s="2"/>
      <c r="F68" s="2"/>
      <c r="G68" s="2"/>
      <c r="H68" s="2"/>
      <c r="I68" s="2"/>
    </row>
    <row r="69" spans="2:9" ht="27.95" customHeight="1" x14ac:dyDescent="0.3">
      <c r="B69" s="10" t="s">
        <v>175</v>
      </c>
      <c r="C69" s="11"/>
      <c r="D69" s="2"/>
      <c r="E69" s="2"/>
      <c r="F69" s="2"/>
      <c r="G69" s="2"/>
      <c r="H69" s="2"/>
      <c r="I69" s="2"/>
    </row>
    <row r="70" spans="2:9" ht="27.95" customHeight="1" x14ac:dyDescent="0.3">
      <c r="B70" s="10" t="s">
        <v>176</v>
      </c>
      <c r="C70" s="11"/>
      <c r="D70" s="2"/>
      <c r="E70" s="2"/>
      <c r="F70" s="2"/>
      <c r="G70" s="2"/>
      <c r="H70" s="2"/>
      <c r="I70" s="2"/>
    </row>
    <row r="71" spans="2:9" ht="27.95" customHeight="1" x14ac:dyDescent="0.3">
      <c r="B71" s="10" t="s">
        <v>177</v>
      </c>
      <c r="C71" s="11"/>
      <c r="D71" s="2"/>
      <c r="E71" s="2"/>
      <c r="F71" s="2"/>
      <c r="G71" s="2"/>
      <c r="H71" s="2"/>
      <c r="I71" s="2"/>
    </row>
    <row r="72" spans="2:9" ht="26.1" customHeight="1" x14ac:dyDescent="0.3">
      <c r="B72" s="121" t="s">
        <v>178</v>
      </c>
      <c r="C72" s="122"/>
      <c r="D72" s="2"/>
      <c r="E72" s="2"/>
      <c r="F72" s="2"/>
      <c r="G72" s="2"/>
      <c r="H72" s="2"/>
      <c r="I72" s="2"/>
    </row>
    <row r="73" spans="2:9" ht="27.95" customHeight="1" x14ac:dyDescent="0.3">
      <c r="B73" s="10" t="s">
        <v>179</v>
      </c>
      <c r="C73" s="11"/>
      <c r="D73" s="2"/>
      <c r="E73" s="2"/>
      <c r="F73" s="2"/>
      <c r="G73" s="2"/>
      <c r="H73" s="2"/>
      <c r="I73" s="2"/>
    </row>
    <row r="74" spans="2:9" ht="27.95" customHeight="1" x14ac:dyDescent="0.3">
      <c r="B74" s="10" t="s">
        <v>180</v>
      </c>
      <c r="C74" s="11"/>
      <c r="D74" s="2"/>
      <c r="E74" s="2"/>
      <c r="F74" s="2"/>
      <c r="G74" s="2"/>
      <c r="H74" s="2"/>
      <c r="I74" s="2"/>
    </row>
    <row r="75" spans="2:9" ht="27.95" customHeight="1" x14ac:dyDescent="0.3">
      <c r="B75" s="10" t="s">
        <v>80</v>
      </c>
      <c r="C75" s="11"/>
      <c r="D75" s="2"/>
      <c r="E75" s="2"/>
      <c r="F75" s="2"/>
      <c r="G75" s="2"/>
      <c r="H75" s="2"/>
      <c r="I75" s="2"/>
    </row>
    <row r="76" spans="2:9" ht="15.95" customHeight="1" thickBot="1" x14ac:dyDescent="0.35">
      <c r="B76" s="2"/>
      <c r="C76" s="2"/>
      <c r="D76" s="123" t="s">
        <v>210</v>
      </c>
      <c r="E76" s="125"/>
      <c r="F76" s="125"/>
      <c r="G76" s="125"/>
      <c r="H76" s="125"/>
      <c r="I76" s="125"/>
    </row>
    <row r="77" spans="2:9" ht="32.1" customHeight="1" thickBot="1" x14ac:dyDescent="0.35">
      <c r="B77" s="126" t="s">
        <v>183</v>
      </c>
      <c r="C77" s="127"/>
      <c r="D77" s="91">
        <v>1</v>
      </c>
      <c r="E77" s="91">
        <v>2</v>
      </c>
      <c r="F77" s="91">
        <v>3</v>
      </c>
      <c r="G77" s="5">
        <v>4</v>
      </c>
      <c r="H77" s="91">
        <v>5</v>
      </c>
      <c r="I77" s="92">
        <v>6</v>
      </c>
    </row>
    <row r="78" spans="2:9" ht="32.1" customHeight="1" x14ac:dyDescent="0.3">
      <c r="B78" s="33" t="s">
        <v>189</v>
      </c>
      <c r="C78" s="32" t="str">
        <f>'Form. Empresa'!C69</f>
        <v>TAP SOLAR</v>
      </c>
      <c r="D78" s="2"/>
      <c r="E78" s="2"/>
      <c r="F78" s="2"/>
      <c r="G78" s="2"/>
      <c r="H78" s="2"/>
      <c r="I78" s="2"/>
    </row>
    <row r="79" spans="2:9" ht="26.1" customHeight="1" x14ac:dyDescent="0.3">
      <c r="B79" s="121" t="s">
        <v>162</v>
      </c>
      <c r="C79" s="122"/>
      <c r="D79" s="2"/>
      <c r="E79" s="2"/>
      <c r="F79" s="2"/>
      <c r="G79" s="2"/>
      <c r="H79" s="2"/>
      <c r="I79" s="2"/>
    </row>
    <row r="80" spans="2:9" ht="27.95" customHeight="1" x14ac:dyDescent="0.3">
      <c r="B80" s="10" t="s">
        <v>163</v>
      </c>
      <c r="C80" s="56"/>
      <c r="D80" s="2"/>
      <c r="E80" s="2"/>
      <c r="F80" s="2"/>
      <c r="G80" s="2"/>
      <c r="H80" s="2"/>
      <c r="I80" s="2"/>
    </row>
    <row r="81" spans="2:9" ht="27.95" customHeight="1" x14ac:dyDescent="0.3">
      <c r="B81" s="10" t="s">
        <v>164</v>
      </c>
      <c r="C81" s="56"/>
      <c r="D81" s="2"/>
      <c r="E81" s="2"/>
      <c r="F81" s="2"/>
      <c r="G81" s="2"/>
      <c r="H81" s="2"/>
      <c r="I81" s="2"/>
    </row>
    <row r="82" spans="2:9" ht="27.95" customHeight="1" x14ac:dyDescent="0.3">
      <c r="B82" s="10" t="s">
        <v>165</v>
      </c>
      <c r="C82" s="56"/>
      <c r="D82" s="2"/>
      <c r="E82" s="2"/>
      <c r="F82" s="2"/>
      <c r="G82" s="2"/>
      <c r="H82" s="2"/>
      <c r="I82" s="2"/>
    </row>
    <row r="83" spans="2:9" ht="27.95" customHeight="1" x14ac:dyDescent="0.3">
      <c r="B83" s="10" t="s">
        <v>166</v>
      </c>
      <c r="C83" s="56"/>
      <c r="D83" s="2"/>
      <c r="E83" s="2"/>
      <c r="F83" s="2"/>
      <c r="G83" s="2"/>
      <c r="H83" s="2"/>
      <c r="I83" s="2"/>
    </row>
    <row r="84" spans="2:9" ht="27.95" customHeight="1" x14ac:dyDescent="0.3">
      <c r="B84" s="10" t="s">
        <v>167</v>
      </c>
      <c r="C84" s="56"/>
      <c r="D84" s="2"/>
      <c r="E84" s="2"/>
      <c r="F84" s="2"/>
      <c r="G84" s="2"/>
      <c r="H84" s="2"/>
      <c r="I84" s="2"/>
    </row>
    <row r="85" spans="2:9" ht="26.1" customHeight="1" x14ac:dyDescent="0.3">
      <c r="B85" s="121" t="s">
        <v>168</v>
      </c>
      <c r="C85" s="122"/>
      <c r="D85" s="2"/>
      <c r="E85" s="2"/>
      <c r="F85" s="2"/>
      <c r="G85" s="2"/>
      <c r="H85" s="2"/>
      <c r="I85" s="2"/>
    </row>
    <row r="86" spans="2:9" ht="27.95" customHeight="1" x14ac:dyDescent="0.3">
      <c r="B86" s="10" t="s">
        <v>169</v>
      </c>
      <c r="C86" s="56">
        <v>14500</v>
      </c>
      <c r="D86" s="2"/>
      <c r="E86" s="2"/>
      <c r="F86" s="2"/>
      <c r="G86" s="2"/>
      <c r="H86" s="2"/>
      <c r="I86" s="2"/>
    </row>
    <row r="87" spans="2:9" ht="26.1" customHeight="1" x14ac:dyDescent="0.3">
      <c r="B87" s="121" t="s">
        <v>170</v>
      </c>
      <c r="C87" s="122"/>
      <c r="D87" s="2"/>
      <c r="E87" s="2"/>
      <c r="F87" s="2"/>
      <c r="G87" s="2"/>
      <c r="H87" s="2"/>
      <c r="I87" s="2"/>
    </row>
    <row r="88" spans="2:9" ht="27.95" customHeight="1" x14ac:dyDescent="0.3">
      <c r="B88" s="10" t="s">
        <v>171</v>
      </c>
      <c r="C88" s="56"/>
      <c r="D88" s="2"/>
      <c r="E88" s="2"/>
      <c r="F88" s="2"/>
      <c r="G88" s="2"/>
      <c r="H88" s="2"/>
      <c r="I88" s="2"/>
    </row>
    <row r="89" spans="2:9" ht="27.95" customHeight="1" x14ac:dyDescent="0.3">
      <c r="B89" s="10" t="s">
        <v>172</v>
      </c>
      <c r="C89" s="11"/>
      <c r="D89" s="2"/>
      <c r="E89" s="2"/>
      <c r="F89" s="2"/>
      <c r="G89" s="2"/>
      <c r="H89" s="2"/>
      <c r="I89" s="2"/>
    </row>
    <row r="90" spans="2:9" ht="27.95" customHeight="1" x14ac:dyDescent="0.3">
      <c r="B90" s="10" t="s">
        <v>173</v>
      </c>
      <c r="C90" s="11"/>
      <c r="D90" s="2"/>
      <c r="E90" s="2"/>
      <c r="F90" s="2"/>
      <c r="G90" s="2"/>
      <c r="H90" s="2"/>
      <c r="I90" s="2"/>
    </row>
    <row r="91" spans="2:9" ht="26.1" customHeight="1" x14ac:dyDescent="0.3">
      <c r="B91" s="121" t="s">
        <v>174</v>
      </c>
      <c r="C91" s="122"/>
      <c r="D91" s="2"/>
      <c r="E91" s="2"/>
      <c r="F91" s="2"/>
      <c r="G91" s="2"/>
      <c r="H91" s="2"/>
      <c r="I91" s="2"/>
    </row>
    <row r="92" spans="2:9" ht="27.95" customHeight="1" x14ac:dyDescent="0.3">
      <c r="B92" s="10" t="s">
        <v>175</v>
      </c>
      <c r="C92" s="11"/>
      <c r="D92" s="2"/>
      <c r="E92" s="2"/>
      <c r="F92" s="2"/>
      <c r="G92" s="2"/>
      <c r="H92" s="2"/>
      <c r="I92" s="2"/>
    </row>
    <row r="93" spans="2:9" ht="27.95" customHeight="1" x14ac:dyDescent="0.3">
      <c r="B93" s="10" t="s">
        <v>176</v>
      </c>
      <c r="C93" s="11"/>
      <c r="D93" s="2"/>
      <c r="E93" s="2"/>
      <c r="F93" s="2"/>
      <c r="G93" s="2"/>
      <c r="H93" s="2"/>
      <c r="I93" s="2"/>
    </row>
    <row r="94" spans="2:9" ht="27.95" customHeight="1" x14ac:dyDescent="0.3">
      <c r="B94" s="10" t="s">
        <v>177</v>
      </c>
      <c r="C94" s="11"/>
      <c r="D94" s="2"/>
      <c r="E94" s="2"/>
      <c r="F94" s="2"/>
      <c r="G94" s="2"/>
      <c r="H94" s="2"/>
      <c r="I94" s="2"/>
    </row>
    <row r="95" spans="2:9" ht="26.1" customHeight="1" x14ac:dyDescent="0.3">
      <c r="B95" s="121" t="s">
        <v>178</v>
      </c>
      <c r="C95" s="122"/>
      <c r="D95" s="2"/>
      <c r="E95" s="2"/>
      <c r="F95" s="2"/>
      <c r="G95" s="2"/>
      <c r="H95" s="2"/>
      <c r="I95" s="2"/>
    </row>
    <row r="96" spans="2:9" ht="27.95" customHeight="1" x14ac:dyDescent="0.3">
      <c r="B96" s="10" t="s">
        <v>179</v>
      </c>
      <c r="C96" s="11"/>
      <c r="D96" s="2"/>
      <c r="E96" s="2"/>
      <c r="F96" s="2"/>
      <c r="G96" s="2"/>
      <c r="H96" s="2"/>
      <c r="I96" s="2"/>
    </row>
    <row r="97" spans="2:9" ht="27.95" customHeight="1" x14ac:dyDescent="0.3">
      <c r="B97" s="10" t="s">
        <v>180</v>
      </c>
      <c r="C97" s="11"/>
      <c r="D97" s="2"/>
      <c r="E97" s="2"/>
      <c r="F97" s="2"/>
      <c r="G97" s="2"/>
      <c r="H97" s="2"/>
      <c r="I97" s="2"/>
    </row>
    <row r="98" spans="2:9" ht="27.95" customHeight="1" x14ac:dyDescent="0.3">
      <c r="B98" s="10" t="s">
        <v>80</v>
      </c>
      <c r="C98" s="11"/>
      <c r="D98" s="2"/>
      <c r="E98" s="2"/>
      <c r="F98" s="2"/>
      <c r="G98" s="2"/>
      <c r="H98" s="2"/>
      <c r="I98" s="2"/>
    </row>
    <row r="99" spans="2:9" ht="15.95" customHeight="1" thickBot="1" x14ac:dyDescent="0.35">
      <c r="B99" s="2"/>
      <c r="C99" s="2"/>
      <c r="D99" s="123" t="s">
        <v>210</v>
      </c>
      <c r="E99" s="125"/>
      <c r="F99" s="125"/>
      <c r="G99" s="125"/>
      <c r="H99" s="125"/>
      <c r="I99" s="125"/>
    </row>
    <row r="100" spans="2:9" ht="32.1" customHeight="1" thickBot="1" x14ac:dyDescent="0.35">
      <c r="B100" s="126" t="s">
        <v>184</v>
      </c>
      <c r="C100" s="127"/>
      <c r="D100" s="91">
        <v>1</v>
      </c>
      <c r="E100" s="91">
        <v>2</v>
      </c>
      <c r="F100" s="91">
        <v>3</v>
      </c>
      <c r="G100" s="91">
        <v>4</v>
      </c>
      <c r="H100" s="5">
        <v>5</v>
      </c>
      <c r="I100" s="92">
        <v>6</v>
      </c>
    </row>
    <row r="101" spans="2:9" ht="32.1" customHeight="1" x14ac:dyDescent="0.3">
      <c r="B101" s="33" t="s">
        <v>189</v>
      </c>
      <c r="C101" s="32" t="str">
        <f>'Form. Empresa'!C89</f>
        <v>FOTOVOLTA EXPRESS</v>
      </c>
      <c r="D101" s="2"/>
      <c r="E101" s="2"/>
      <c r="F101" s="2"/>
      <c r="G101" s="2"/>
      <c r="H101" s="2"/>
      <c r="I101" s="2"/>
    </row>
    <row r="102" spans="2:9" ht="26.1" customHeight="1" x14ac:dyDescent="0.3">
      <c r="B102" s="121" t="s">
        <v>162</v>
      </c>
      <c r="C102" s="122"/>
      <c r="D102" s="2"/>
      <c r="E102" s="2"/>
      <c r="F102" s="2"/>
      <c r="G102" s="2"/>
      <c r="H102" s="2"/>
      <c r="I102" s="2"/>
    </row>
    <row r="103" spans="2:9" ht="27.95" customHeight="1" x14ac:dyDescent="0.3">
      <c r="B103" s="10" t="s">
        <v>163</v>
      </c>
      <c r="C103" s="56"/>
      <c r="D103" s="2"/>
      <c r="E103" s="2"/>
      <c r="F103" s="2"/>
      <c r="G103" s="2"/>
      <c r="H103" s="2"/>
      <c r="I103" s="2"/>
    </row>
    <row r="104" spans="2:9" ht="27.95" customHeight="1" x14ac:dyDescent="0.3">
      <c r="B104" s="10" t="s">
        <v>164</v>
      </c>
      <c r="C104" s="56"/>
      <c r="D104" s="2"/>
      <c r="E104" s="2"/>
      <c r="F104" s="2"/>
      <c r="G104" s="2"/>
      <c r="H104" s="2"/>
      <c r="I104" s="2"/>
    </row>
    <row r="105" spans="2:9" ht="27.95" customHeight="1" x14ac:dyDescent="0.3">
      <c r="B105" s="10" t="s">
        <v>165</v>
      </c>
      <c r="C105" s="56"/>
      <c r="D105" s="2"/>
      <c r="E105" s="2"/>
      <c r="F105" s="2"/>
      <c r="G105" s="2"/>
      <c r="H105" s="2"/>
      <c r="I105" s="2"/>
    </row>
    <row r="106" spans="2:9" ht="27.95" customHeight="1" x14ac:dyDescent="0.3">
      <c r="B106" s="10" t="s">
        <v>166</v>
      </c>
      <c r="C106" s="56"/>
      <c r="D106" s="2"/>
      <c r="E106" s="2"/>
      <c r="F106" s="2"/>
      <c r="G106" s="2"/>
      <c r="H106" s="2"/>
      <c r="I106" s="2"/>
    </row>
    <row r="107" spans="2:9" ht="27.95" customHeight="1" x14ac:dyDescent="0.3">
      <c r="B107" s="10" t="s">
        <v>167</v>
      </c>
      <c r="C107" s="56"/>
      <c r="D107" s="2"/>
      <c r="E107" s="2"/>
      <c r="F107" s="2"/>
      <c r="G107" s="2"/>
      <c r="H107" s="2"/>
      <c r="I107" s="2"/>
    </row>
    <row r="108" spans="2:9" ht="26.1" customHeight="1" x14ac:dyDescent="0.3">
      <c r="B108" s="121" t="s">
        <v>168</v>
      </c>
      <c r="C108" s="122"/>
      <c r="D108" s="2"/>
      <c r="E108" s="2"/>
      <c r="F108" s="2"/>
      <c r="G108" s="2"/>
      <c r="H108" s="2"/>
      <c r="I108" s="2"/>
    </row>
    <row r="109" spans="2:9" ht="27.95" customHeight="1" x14ac:dyDescent="0.3">
      <c r="B109" s="10" t="s">
        <v>169</v>
      </c>
      <c r="C109" s="56">
        <v>17326.75</v>
      </c>
      <c r="D109" s="2"/>
      <c r="E109" s="2"/>
      <c r="F109" s="2"/>
      <c r="G109" s="2"/>
      <c r="H109" s="2"/>
      <c r="I109" s="2"/>
    </row>
    <row r="110" spans="2:9" ht="26.1" customHeight="1" x14ac:dyDescent="0.3">
      <c r="B110" s="121" t="s">
        <v>170</v>
      </c>
      <c r="C110" s="122"/>
      <c r="D110" s="2"/>
      <c r="E110" s="2"/>
      <c r="F110" s="2"/>
      <c r="G110" s="2"/>
      <c r="H110" s="2"/>
      <c r="I110" s="2"/>
    </row>
    <row r="111" spans="2:9" ht="27.95" customHeight="1" x14ac:dyDescent="0.3">
      <c r="B111" s="10" t="s">
        <v>171</v>
      </c>
      <c r="C111" s="56"/>
      <c r="D111" s="2"/>
      <c r="E111" s="2"/>
      <c r="F111" s="2"/>
      <c r="G111" s="2"/>
      <c r="H111" s="2"/>
      <c r="I111" s="2"/>
    </row>
    <row r="112" spans="2:9" ht="27.95" customHeight="1" x14ac:dyDescent="0.3">
      <c r="B112" s="10" t="s">
        <v>172</v>
      </c>
      <c r="C112" s="11"/>
      <c r="D112" s="2"/>
      <c r="E112" s="2"/>
      <c r="F112" s="2"/>
      <c r="G112" s="2"/>
      <c r="H112" s="2"/>
      <c r="I112" s="2"/>
    </row>
    <row r="113" spans="2:9" ht="27.95" customHeight="1" x14ac:dyDescent="0.3">
      <c r="B113" s="10" t="s">
        <v>173</v>
      </c>
      <c r="C113" s="11"/>
      <c r="D113" s="2"/>
      <c r="E113" s="2"/>
      <c r="F113" s="2"/>
      <c r="G113" s="2"/>
      <c r="H113" s="2"/>
      <c r="I113" s="2"/>
    </row>
    <row r="114" spans="2:9" ht="26.1" customHeight="1" x14ac:dyDescent="0.3">
      <c r="B114" s="121" t="s">
        <v>174</v>
      </c>
      <c r="C114" s="122"/>
      <c r="D114" s="2"/>
      <c r="E114" s="2"/>
      <c r="F114" s="2"/>
      <c r="G114" s="2"/>
      <c r="H114" s="2"/>
      <c r="I114" s="2"/>
    </row>
    <row r="115" spans="2:9" ht="27.95" customHeight="1" x14ac:dyDescent="0.3">
      <c r="B115" s="10" t="s">
        <v>175</v>
      </c>
      <c r="C115" s="11"/>
      <c r="D115" s="2"/>
      <c r="E115" s="2"/>
      <c r="F115" s="2"/>
      <c r="G115" s="2"/>
      <c r="H115" s="2"/>
      <c r="I115" s="2"/>
    </row>
    <row r="116" spans="2:9" ht="27.95" customHeight="1" x14ac:dyDescent="0.3">
      <c r="B116" s="10" t="s">
        <v>176</v>
      </c>
      <c r="C116" s="11"/>
      <c r="D116" s="2"/>
      <c r="E116" s="2"/>
      <c r="F116" s="2"/>
      <c r="G116" s="2"/>
      <c r="H116" s="2"/>
      <c r="I116" s="2"/>
    </row>
    <row r="117" spans="2:9" ht="27.95" customHeight="1" x14ac:dyDescent="0.3">
      <c r="B117" s="10" t="s">
        <v>177</v>
      </c>
      <c r="C117" s="11"/>
      <c r="D117" s="2"/>
      <c r="E117" s="2"/>
      <c r="F117" s="2"/>
      <c r="G117" s="2"/>
      <c r="H117" s="2"/>
      <c r="I117" s="2"/>
    </row>
    <row r="118" spans="2:9" ht="26.1" customHeight="1" x14ac:dyDescent="0.3">
      <c r="B118" s="121" t="s">
        <v>178</v>
      </c>
      <c r="C118" s="122"/>
      <c r="D118" s="2"/>
      <c r="E118" s="2"/>
      <c r="F118" s="2"/>
      <c r="G118" s="2"/>
      <c r="H118" s="2"/>
      <c r="I118" s="2"/>
    </row>
    <row r="119" spans="2:9" ht="27.95" customHeight="1" x14ac:dyDescent="0.3">
      <c r="B119" s="10" t="s">
        <v>179</v>
      </c>
      <c r="C119" s="11"/>
      <c r="D119" s="2"/>
      <c r="E119" s="2"/>
      <c r="F119" s="2"/>
      <c r="G119" s="2"/>
      <c r="H119" s="2"/>
      <c r="I119" s="2"/>
    </row>
    <row r="120" spans="2:9" ht="27.95" customHeight="1" x14ac:dyDescent="0.3">
      <c r="B120" s="10" t="s">
        <v>180</v>
      </c>
      <c r="C120" s="11"/>
      <c r="D120" s="2"/>
      <c r="E120" s="2"/>
      <c r="F120" s="2"/>
      <c r="G120" s="2"/>
      <c r="H120" s="2"/>
      <c r="I120" s="2"/>
    </row>
    <row r="121" spans="2:9" ht="27.95" customHeight="1" x14ac:dyDescent="0.3">
      <c r="B121" s="10" t="s">
        <v>80</v>
      </c>
      <c r="C121" s="11"/>
      <c r="D121" s="2"/>
      <c r="E121" s="2"/>
      <c r="F121" s="2"/>
      <c r="G121" s="2"/>
      <c r="H121" s="2"/>
      <c r="I121" s="2"/>
    </row>
    <row r="122" spans="2:9" ht="15.95" customHeight="1" thickBot="1" x14ac:dyDescent="0.35">
      <c r="B122" s="2"/>
      <c r="C122" s="2"/>
      <c r="D122" s="123" t="s">
        <v>210</v>
      </c>
      <c r="E122" s="125"/>
      <c r="F122" s="125"/>
      <c r="G122" s="125"/>
      <c r="H122" s="125"/>
      <c r="I122" s="125"/>
    </row>
    <row r="123" spans="2:9" ht="32.1" customHeight="1" thickBot="1" x14ac:dyDescent="0.35">
      <c r="B123" s="126" t="s">
        <v>185</v>
      </c>
      <c r="C123" s="127"/>
      <c r="D123" s="91">
        <v>1</v>
      </c>
      <c r="E123" s="91">
        <v>2</v>
      </c>
      <c r="F123" s="91">
        <v>3</v>
      </c>
      <c r="G123" s="91">
        <v>4</v>
      </c>
      <c r="H123" s="91">
        <v>5</v>
      </c>
      <c r="I123" s="12">
        <v>6</v>
      </c>
    </row>
    <row r="124" spans="2:9" ht="32.1" customHeight="1" x14ac:dyDescent="0.3">
      <c r="B124" s="33" t="s">
        <v>189</v>
      </c>
      <c r="C124" s="32" t="str">
        <f>'Form. Empresa'!C109</f>
        <v>SELF SOLAR</v>
      </c>
      <c r="D124" s="2"/>
      <c r="E124" s="2"/>
      <c r="F124" s="2"/>
      <c r="G124" s="2"/>
      <c r="H124" s="2"/>
      <c r="I124" s="2"/>
    </row>
    <row r="125" spans="2:9" ht="26.1" customHeight="1" x14ac:dyDescent="0.3">
      <c r="B125" s="121" t="s">
        <v>162</v>
      </c>
      <c r="C125" s="122"/>
      <c r="D125" s="2"/>
      <c r="E125" s="2"/>
      <c r="F125" s="2"/>
      <c r="G125" s="2"/>
      <c r="H125" s="2"/>
      <c r="I125" s="2"/>
    </row>
    <row r="126" spans="2:9" ht="27.95" customHeight="1" x14ac:dyDescent="0.3">
      <c r="B126" s="10" t="s">
        <v>163</v>
      </c>
      <c r="C126" s="56"/>
      <c r="D126" s="2"/>
      <c r="E126" s="2"/>
      <c r="F126" s="2"/>
      <c r="G126" s="2"/>
      <c r="H126" s="2"/>
      <c r="I126" s="2"/>
    </row>
    <row r="127" spans="2:9" ht="27.95" customHeight="1" x14ac:dyDescent="0.3">
      <c r="B127" s="10" t="s">
        <v>164</v>
      </c>
      <c r="C127" s="56"/>
      <c r="D127" s="2"/>
      <c r="E127" s="2"/>
      <c r="F127" s="2"/>
      <c r="G127" s="2"/>
      <c r="H127" s="2"/>
      <c r="I127" s="2"/>
    </row>
    <row r="128" spans="2:9" ht="27.95" customHeight="1" x14ac:dyDescent="0.3">
      <c r="B128" s="10" t="s">
        <v>165</v>
      </c>
      <c r="C128" s="56"/>
      <c r="D128" s="2"/>
      <c r="E128" s="2"/>
      <c r="F128" s="2"/>
      <c r="G128" s="2"/>
      <c r="H128" s="2"/>
      <c r="I128" s="2"/>
    </row>
    <row r="129" spans="2:9" ht="27.95" customHeight="1" x14ac:dyDescent="0.3">
      <c r="B129" s="10" t="s">
        <v>166</v>
      </c>
      <c r="C129" s="56"/>
      <c r="D129" s="2"/>
      <c r="E129" s="2"/>
      <c r="F129" s="2"/>
      <c r="G129" s="2"/>
      <c r="H129" s="2"/>
      <c r="I129" s="2"/>
    </row>
    <row r="130" spans="2:9" ht="27.95" customHeight="1" x14ac:dyDescent="0.3">
      <c r="B130" s="10" t="s">
        <v>167</v>
      </c>
      <c r="C130" s="56"/>
      <c r="D130" s="2"/>
      <c r="E130" s="2"/>
      <c r="F130" s="2"/>
      <c r="G130" s="2"/>
      <c r="H130" s="2"/>
      <c r="I130" s="2"/>
    </row>
    <row r="131" spans="2:9" ht="26.1" customHeight="1" x14ac:dyDescent="0.3">
      <c r="B131" s="121" t="s">
        <v>168</v>
      </c>
      <c r="C131" s="122"/>
      <c r="D131" s="2"/>
      <c r="E131" s="2"/>
      <c r="F131" s="2"/>
      <c r="G131" s="2"/>
      <c r="H131" s="2"/>
      <c r="I131" s="2"/>
    </row>
    <row r="132" spans="2:9" ht="27.95" customHeight="1" x14ac:dyDescent="0.3">
      <c r="B132" s="10" t="s">
        <v>169</v>
      </c>
      <c r="C132" s="56">
        <v>16500</v>
      </c>
      <c r="D132" s="2"/>
      <c r="E132" s="2"/>
      <c r="F132" s="2"/>
      <c r="G132" s="2"/>
      <c r="H132" s="2"/>
      <c r="I132" s="2"/>
    </row>
    <row r="133" spans="2:9" ht="26.1" customHeight="1" x14ac:dyDescent="0.3">
      <c r="B133" s="121" t="s">
        <v>170</v>
      </c>
      <c r="C133" s="122"/>
      <c r="D133" s="2"/>
      <c r="E133" s="2"/>
      <c r="F133" s="2"/>
      <c r="G133" s="2"/>
      <c r="H133" s="2"/>
      <c r="I133" s="2"/>
    </row>
    <row r="134" spans="2:9" ht="27.95" customHeight="1" x14ac:dyDescent="0.3">
      <c r="B134" s="10" t="s">
        <v>171</v>
      </c>
      <c r="C134" s="56"/>
      <c r="D134" s="2"/>
      <c r="E134" s="2"/>
      <c r="F134" s="2"/>
      <c r="G134" s="2"/>
      <c r="H134" s="2"/>
      <c r="I134" s="2"/>
    </row>
    <row r="135" spans="2:9" ht="27.95" customHeight="1" x14ac:dyDescent="0.3">
      <c r="B135" s="10" t="s">
        <v>172</v>
      </c>
      <c r="C135" s="11"/>
      <c r="D135" s="2"/>
      <c r="E135" s="2"/>
      <c r="F135" s="2"/>
      <c r="G135" s="2"/>
      <c r="H135" s="2"/>
      <c r="I135" s="2"/>
    </row>
    <row r="136" spans="2:9" ht="27.95" customHeight="1" x14ac:dyDescent="0.3">
      <c r="B136" s="10" t="s">
        <v>173</v>
      </c>
      <c r="C136" s="11"/>
      <c r="D136" s="2"/>
      <c r="E136" s="2"/>
      <c r="F136" s="2"/>
      <c r="G136" s="2"/>
      <c r="H136" s="2"/>
      <c r="I136" s="2"/>
    </row>
    <row r="137" spans="2:9" ht="26.1" customHeight="1" x14ac:dyDescent="0.3">
      <c r="B137" s="121" t="s">
        <v>174</v>
      </c>
      <c r="C137" s="122"/>
      <c r="D137" s="2"/>
      <c r="E137" s="2"/>
      <c r="F137" s="2"/>
      <c r="G137" s="2"/>
      <c r="H137" s="2"/>
      <c r="I137" s="2"/>
    </row>
    <row r="138" spans="2:9" ht="27.95" customHeight="1" x14ac:dyDescent="0.3">
      <c r="B138" s="10" t="s">
        <v>175</v>
      </c>
      <c r="C138" s="11"/>
      <c r="D138" s="2"/>
      <c r="E138" s="2"/>
      <c r="F138" s="2"/>
      <c r="G138" s="2"/>
      <c r="H138" s="2"/>
      <c r="I138" s="2"/>
    </row>
    <row r="139" spans="2:9" ht="27.95" customHeight="1" x14ac:dyDescent="0.3">
      <c r="B139" s="10" t="s">
        <v>176</v>
      </c>
      <c r="C139" s="11"/>
      <c r="D139" s="2"/>
      <c r="E139" s="2"/>
      <c r="F139" s="2"/>
      <c r="G139" s="2"/>
      <c r="H139" s="2"/>
      <c r="I139" s="2"/>
    </row>
    <row r="140" spans="2:9" ht="27.95" customHeight="1" x14ac:dyDescent="0.3">
      <c r="B140" s="10" t="s">
        <v>177</v>
      </c>
      <c r="C140" s="11"/>
      <c r="D140" s="2"/>
      <c r="E140" s="2"/>
      <c r="F140" s="2"/>
      <c r="G140" s="2"/>
      <c r="H140" s="2"/>
      <c r="I140" s="2"/>
    </row>
    <row r="141" spans="2:9" ht="26.1" customHeight="1" x14ac:dyDescent="0.3">
      <c r="B141" s="121" t="s">
        <v>178</v>
      </c>
      <c r="C141" s="122"/>
      <c r="D141" s="2"/>
      <c r="E141" s="2"/>
      <c r="F141" s="2"/>
      <c r="G141" s="2"/>
      <c r="H141" s="2"/>
      <c r="I141" s="2"/>
    </row>
    <row r="142" spans="2:9" ht="27.95" customHeight="1" x14ac:dyDescent="0.3">
      <c r="B142" s="10" t="s">
        <v>179</v>
      </c>
      <c r="C142" s="11"/>
      <c r="D142" s="2"/>
      <c r="E142" s="2"/>
      <c r="F142" s="2"/>
      <c r="G142" s="2"/>
      <c r="H142" s="2"/>
      <c r="I142" s="2"/>
    </row>
    <row r="143" spans="2:9" ht="27.95" customHeight="1" x14ac:dyDescent="0.3">
      <c r="B143" s="10" t="s">
        <v>180</v>
      </c>
      <c r="C143" s="11"/>
      <c r="D143" s="2"/>
      <c r="E143" s="2"/>
      <c r="F143" s="2"/>
      <c r="G143" s="2"/>
      <c r="H143" s="2"/>
      <c r="I143" s="2"/>
    </row>
    <row r="144" spans="2:9" ht="27.95" customHeight="1" x14ac:dyDescent="0.3">
      <c r="B144" s="10" t="s">
        <v>80</v>
      </c>
      <c r="C144" s="11"/>
      <c r="D144" s="2"/>
      <c r="E144" s="2"/>
      <c r="F144" s="2"/>
      <c r="G144" s="2"/>
      <c r="H144" s="2"/>
      <c r="I144" s="2"/>
    </row>
    <row r="145" spans="1:1" ht="18" customHeight="1" x14ac:dyDescent="0.25"/>
    <row r="146" spans="1:1" x14ac:dyDescent="0.25">
      <c r="A146" s="93" t="s">
        <v>341</v>
      </c>
    </row>
    <row r="147" spans="1:1" x14ac:dyDescent="0.25">
      <c r="A147" s="93" t="s">
        <v>340</v>
      </c>
    </row>
  </sheetData>
  <mergeCells count="44">
    <mergeCell ref="B18:C18"/>
    <mergeCell ref="B2:C2"/>
    <mergeCell ref="B3:C3"/>
    <mergeCell ref="B8:C8"/>
    <mergeCell ref="B10:C10"/>
    <mergeCell ref="B16:C16"/>
    <mergeCell ref="B64:C64"/>
    <mergeCell ref="B22:C22"/>
    <mergeCell ref="B26:C26"/>
    <mergeCell ref="B31:C31"/>
    <mergeCell ref="B33:C33"/>
    <mergeCell ref="B39:C39"/>
    <mergeCell ref="B41:C41"/>
    <mergeCell ref="B45:C45"/>
    <mergeCell ref="B49:C49"/>
    <mergeCell ref="B54:C54"/>
    <mergeCell ref="B56:C56"/>
    <mergeCell ref="B62:C62"/>
    <mergeCell ref="B100:C100"/>
    <mergeCell ref="B102:C102"/>
    <mergeCell ref="B108:C108"/>
    <mergeCell ref="B110:C110"/>
    <mergeCell ref="B68:C68"/>
    <mergeCell ref="B72:C72"/>
    <mergeCell ref="B77:C77"/>
    <mergeCell ref="B79:C79"/>
    <mergeCell ref="B85:C85"/>
    <mergeCell ref="B87:C87"/>
    <mergeCell ref="B137:C137"/>
    <mergeCell ref="B141:C141"/>
    <mergeCell ref="D7:I7"/>
    <mergeCell ref="D30:I30"/>
    <mergeCell ref="D53:I53"/>
    <mergeCell ref="D76:I76"/>
    <mergeCell ref="D99:I99"/>
    <mergeCell ref="D122:I122"/>
    <mergeCell ref="B114:C114"/>
    <mergeCell ref="B118:C118"/>
    <mergeCell ref="B123:C123"/>
    <mergeCell ref="B125:C125"/>
    <mergeCell ref="B131:C131"/>
    <mergeCell ref="B133:C133"/>
    <mergeCell ref="B91:C91"/>
    <mergeCell ref="B95:C95"/>
  </mergeCells>
  <dataValidations count="1">
    <dataValidation type="list" allowBlank="1" showInputMessage="1" showErrorMessage="1" promptTitle="Confiabilidade" prompt="Escolha o nível de confiabilidade" sqref="C29 C144 C121 C98 C75 C52" xr:uid="{E68E05AA-F7B5-4AED-B065-F9D40A1BE7A8}">
      <formula1>"Alta,Média,Baixa,Não sei"</formula1>
    </dataValidation>
  </dataValidations>
  <hyperlinks>
    <hyperlink ref="B5" location="'Form. Tecnológico'!A1" display="← Anterior: ⚙️ PASSO 2" xr:uid="{C928A6CE-F251-470B-ADAB-B60D1AB934EF}"/>
    <hyperlink ref="C5" location="'Pontuação Geral'!A1" display="🏆 Ver resultado final →" xr:uid="{5C1E70DA-4874-418E-842E-55A1B97993BC}"/>
    <hyperlink ref="E8" location="'Form. Financeiro'!B53" tooltip="Ir para Empresa 2" display="2" xr:uid="{39A0E390-FDFD-4D3A-A3FF-E8EEA1031480}"/>
    <hyperlink ref="F8" location="'Form. Financeiro'!B76" tooltip="Ir para Empresa 3" display="3" xr:uid="{348AC45D-0A18-4A89-8554-FED66E822AFC}"/>
    <hyperlink ref="G8" location="'Form. Financeiro'!B99" tooltip="Ir para Empresa 4" display="4" xr:uid="{8E982160-89A3-4672-8B5D-5244BF3CB60F}"/>
    <hyperlink ref="H8" location="'Form. Financeiro'!B122" tooltip="Ir para Empresa 5" display="5" xr:uid="{D14FEE4C-8030-4AF8-989A-2517D9A58738}"/>
    <hyperlink ref="I8" location="'Form. Financeiro'!B145" tooltip="Ir para Empresa 6" display="6" xr:uid="{0BEAF2A9-2004-4323-B3B7-F85646F67AFF}"/>
    <hyperlink ref="D31" location="'Form. Financeiro'!B30" tooltip="Ir para Empresa 1" display="1" xr:uid="{53C4DAE8-AE61-4C73-B159-74D69AF0D812}"/>
    <hyperlink ref="F31" location="'Form. Financeiro'!B76" tooltip="Ir para Empresa 3" display="3" xr:uid="{EEE68F5B-B2B1-43F9-BD74-DEA815BCDF26}"/>
    <hyperlink ref="G31" location="'Form. Financeiro'!B99" tooltip="Ir para Empresa 4" display="4" xr:uid="{78BBDF14-61E8-4A64-87E1-50495A0CC77F}"/>
    <hyperlink ref="H31" location="'Form. Financeiro'!B122" tooltip="Ir para Empresa 5" display="5" xr:uid="{747C354C-96B9-46F4-BCEA-9AE5DD461D47}"/>
    <hyperlink ref="I31" location="'Form. Financeiro'!B145" tooltip="Ir para Empresa 6" display="6" xr:uid="{D462C9F9-DFAA-40B5-A5A8-2301162D8C94}"/>
    <hyperlink ref="D54" location="'Form. Financeiro'!B30" tooltip="Ir para Empresa 1" display="1" xr:uid="{5AE0F303-8F39-4468-884A-D6D75F2CFA64}"/>
    <hyperlink ref="E54" location="'Form. Financeiro'!B53" tooltip="Ir para Empresa 2" display="2" xr:uid="{7C29757F-066B-4B84-B6A3-373DDF72842E}"/>
    <hyperlink ref="G54" location="'Form. Financeiro'!B99" tooltip="Ir para Empresa 4" display="4" xr:uid="{D3BE4614-211D-4730-81A1-E1CC021A3663}"/>
    <hyperlink ref="H54" location="'Form. Financeiro'!B122" tooltip="Ir para Empresa 5" display="5" xr:uid="{2A0C11DF-1B98-46D6-ABAD-8B6CEE1A5A08}"/>
    <hyperlink ref="I54" location="'Form. Financeiro'!B145" tooltip="Ir para Empresa 6" display="6" xr:uid="{A3A0D0B2-39DF-415C-834C-37FE6DB199F2}"/>
    <hyperlink ref="D77" location="'Form. Financeiro'!B30" tooltip="Ir para Empresa 1" display="1" xr:uid="{1EC46B8E-8341-4B1F-A32A-4D12106C68C4}"/>
    <hyperlink ref="E77" location="'Form. Financeiro'!B53" tooltip="Ir para Empresa 2" display="2" xr:uid="{816BA3D0-89B7-46DE-B4EC-00EF28AA4700}"/>
    <hyperlink ref="F77" location="'Form. Financeiro'!B76" tooltip="Ir para Empresa 3" display="3" xr:uid="{6A7BE588-D6F8-4CA0-93AF-B6A848469EB8}"/>
    <hyperlink ref="H77" location="'Form. Financeiro'!B122" tooltip="Ir para Empresa 5" display="5" xr:uid="{CB388DDE-6A0F-4F57-8812-5664CB9DF4B8}"/>
    <hyperlink ref="I77" location="'Form. Financeiro'!B145" tooltip="Ir para Empresa 6" display="6" xr:uid="{72F3C9DD-15CC-43F2-8EB5-587EF556DAD6}"/>
    <hyperlink ref="D100" location="'Form. Financeiro'!B30" tooltip="Ir para Empresa 1" display="1" xr:uid="{7A3F5EDF-2DA8-4D37-92B5-1BBA4B8D8CB7}"/>
    <hyperlink ref="E100" location="'Form. Financeiro'!B53" tooltip="Ir para Empresa 2" display="2" xr:uid="{2E0F53C6-EB83-4C3D-8960-8C9E003445ED}"/>
    <hyperlink ref="F100" location="'Form. Financeiro'!B76" tooltip="Ir para Empresa 3" display="3" xr:uid="{FAAD8780-F841-4216-BE8B-4ECD1EE7E47C}"/>
    <hyperlink ref="G100" location="'Form. Financeiro'!B99" tooltip="Ir para Empresa 4" display="4" xr:uid="{309641BD-9E3C-4FB4-AB38-00BE7C6C5498}"/>
    <hyperlink ref="I100" location="'Form. Financeiro'!B145" tooltip="Ir para Empresa 6" display="6" xr:uid="{1B1FCEBA-732D-40B2-A859-26757E59E190}"/>
    <hyperlink ref="D123" location="'Form. Financeiro'!B30" tooltip="Ir para Empresa 1" display="1" xr:uid="{A169BC1C-FFEB-4DA2-A662-971E2F7CDD0A}"/>
    <hyperlink ref="E123" location="'Form. Financeiro'!B53" tooltip="Ir para Empresa 2" display="2" xr:uid="{43FFAE0B-37E7-4B99-AB1F-0897AE03AF5B}"/>
    <hyperlink ref="F123" location="'Form. Financeiro'!B76" tooltip="Ir para Empresa 3" display="3" xr:uid="{D1B74E9A-DEF3-4CED-8CDE-1321379B03CE}"/>
    <hyperlink ref="G123" location="'Form. Financeiro'!B99" tooltip="Ir para Empresa 4" display="4" xr:uid="{EB5D2351-8A29-4872-BE06-92611148B04A}"/>
    <hyperlink ref="H123" location="'Form. Financeiro'!B122" tooltip="Ir para Empresa 5" display="5" xr:uid="{F21CCF33-3D65-48B8-92A6-7C2C65A4CB87}"/>
  </hyperlink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7">
    <tabColor rgb="FF2E5FA3"/>
  </sheetPr>
  <dimension ref="A1:G35"/>
  <sheetViews>
    <sheetView zoomScale="86" zoomScaleNormal="86" workbookViewId="0">
      <pane xSplit="1" ySplit="5" topLeftCell="B6" activePane="bottomRight" state="frozen"/>
      <selection pane="topRight" activeCell="B1" sqref="B1"/>
      <selection pane="bottomLeft" activeCell="A3" sqref="A3"/>
      <selection pane="bottomRight" activeCell="E2" sqref="E2:G2"/>
    </sheetView>
  </sheetViews>
  <sheetFormatPr defaultColWidth="8.7109375" defaultRowHeight="15" x14ac:dyDescent="0.25"/>
  <cols>
    <col min="1" max="1" width="61" style="1" customWidth="1"/>
    <col min="2" max="3" width="24.7109375" customWidth="1"/>
    <col min="4" max="4" width="29.140625" customWidth="1"/>
    <col min="5" max="6" width="24.7109375" customWidth="1"/>
    <col min="7" max="7" width="27.28515625" customWidth="1"/>
  </cols>
  <sheetData>
    <row r="1" spans="1:7" ht="26.1" customHeight="1" thickBot="1" x14ac:dyDescent="0.35">
      <c r="A1" s="149" t="s">
        <v>223</v>
      </c>
      <c r="B1" s="149"/>
      <c r="C1" s="149"/>
      <c r="D1" s="149"/>
      <c r="E1" s="149"/>
      <c r="F1" s="149"/>
      <c r="G1" s="149"/>
    </row>
    <row r="2" spans="1:7" ht="30" customHeight="1" thickBot="1" x14ac:dyDescent="0.35">
      <c r="A2" s="135" t="s">
        <v>205</v>
      </c>
      <c r="B2" s="136"/>
      <c r="C2" s="137" t="s">
        <v>200</v>
      </c>
      <c r="D2" s="138"/>
      <c r="E2" s="164" t="s">
        <v>206</v>
      </c>
      <c r="F2" s="138"/>
      <c r="G2" s="138"/>
    </row>
    <row r="3" spans="1:7" ht="8.1" customHeight="1" thickBot="1" x14ac:dyDescent="0.35">
      <c r="A3" s="13"/>
      <c r="B3" s="2"/>
      <c r="C3" s="2"/>
      <c r="D3" s="2"/>
      <c r="E3" s="2"/>
      <c r="F3" s="2"/>
      <c r="G3" s="2"/>
    </row>
    <row r="4" spans="1:7" ht="32.1" customHeight="1" thickBot="1" x14ac:dyDescent="0.3">
      <c r="A4" s="165" t="s">
        <v>55</v>
      </c>
      <c r="B4" s="166"/>
      <c r="C4" s="166"/>
      <c r="D4" s="166"/>
      <c r="E4" s="166"/>
      <c r="F4" s="166"/>
      <c r="G4" s="167"/>
    </row>
    <row r="5" spans="1:7" ht="26.1" customHeight="1" x14ac:dyDescent="0.25">
      <c r="A5" s="14" t="s">
        <v>56</v>
      </c>
      <c r="B5" s="15" t="str">
        <f>IF('Form. Empresa'!C9="","1",'Form. Empresa'!C9)</f>
        <v>RENOVA</v>
      </c>
      <c r="C5" s="15" t="str">
        <f>IF('Form. Empresa'!C29="","2",'Form. Empresa'!C29)</f>
        <v>SOLI SOLAR</v>
      </c>
      <c r="D5" s="15" t="str">
        <f>IF('Form. Empresa'!C49="","3",'Form. Empresa'!C49)</f>
        <v>ENERGIA SGE</v>
      </c>
      <c r="E5" s="15" t="str">
        <f>IF('Form. Empresa'!C69="","4",'Form. Empresa'!C69)</f>
        <v>TAP SOLAR</v>
      </c>
      <c r="F5" s="15" t="str">
        <f>IF('Form. Empresa'!C89="","5",'Form. Empresa'!C89)</f>
        <v>FOTOVOLTA EXPRESS</v>
      </c>
      <c r="G5" s="16" t="str">
        <f>IF('Form. Empresa'!C109="","6",'Form. Empresa'!C109)</f>
        <v>SELF SOLAR</v>
      </c>
    </row>
    <row r="6" spans="1:7" ht="26.1" customHeight="1" x14ac:dyDescent="0.25">
      <c r="A6" s="131" t="s">
        <v>57</v>
      </c>
      <c r="B6" s="143"/>
      <c r="C6" s="143"/>
      <c r="D6" s="143"/>
      <c r="E6" s="143"/>
      <c r="F6" s="143"/>
      <c r="G6" s="144"/>
    </row>
    <row r="7" spans="1:7" ht="24" customHeight="1" x14ac:dyDescent="0.25">
      <c r="A7" s="18" t="s">
        <v>58</v>
      </c>
      <c r="B7" s="36">
        <f>IF('Form. Financeiro'!C11="","",'Form. Financeiro'!C11)</f>
        <v>698.3</v>
      </c>
      <c r="C7" s="36" t="str">
        <f>IF('Form. Financeiro'!C34="","",'Form. Financeiro'!C34)</f>
        <v/>
      </c>
      <c r="D7" s="36" t="str">
        <f>IF('Form. Financeiro'!C57="","",'Form. Financeiro'!C57)</f>
        <v/>
      </c>
      <c r="E7" s="36" t="str">
        <f>IF('Form. Financeiro'!C80="","",'Form. Financeiro'!C80)</f>
        <v/>
      </c>
      <c r="F7" s="36" t="str">
        <f>IF('Form. Financeiro'!C103="","",'Form. Financeiro'!C103)</f>
        <v/>
      </c>
      <c r="G7" s="37" t="str">
        <f>IF('Form. Financeiro'!C126="","",'Form. Financeiro'!C126)</f>
        <v/>
      </c>
    </row>
    <row r="8" spans="1:7" ht="24" customHeight="1" x14ac:dyDescent="0.25">
      <c r="A8" s="18" t="s">
        <v>59</v>
      </c>
      <c r="B8" s="36">
        <f>IF('Form. Financeiro'!C12="","",'Form. Financeiro'!C12)</f>
        <v>141.13999999999999</v>
      </c>
      <c r="C8" s="36" t="str">
        <f>IF('Form. Financeiro'!C35="","",'Form. Financeiro'!C35)</f>
        <v/>
      </c>
      <c r="D8" s="36" t="str">
        <f>IF('Form. Financeiro'!C58="","",'Form. Financeiro'!C58)</f>
        <v/>
      </c>
      <c r="E8" s="36" t="str">
        <f>IF('Form. Financeiro'!C81="","",'Form. Financeiro'!C81)</f>
        <v/>
      </c>
      <c r="F8" s="36" t="str">
        <f>IF('Form. Financeiro'!C104="","",'Form. Financeiro'!C104)</f>
        <v/>
      </c>
      <c r="G8" s="37" t="str">
        <f>IF('Form. Financeiro'!C127="","",'Form. Financeiro'!C127)</f>
        <v/>
      </c>
    </row>
    <row r="9" spans="1:7" ht="24" customHeight="1" x14ac:dyDescent="0.25">
      <c r="A9" s="18" t="s">
        <v>60</v>
      </c>
      <c r="B9" s="36">
        <f>IF('Form. Financeiro'!C13="","",'Form. Financeiro'!C13)</f>
        <v>557.16</v>
      </c>
      <c r="C9" s="36" t="str">
        <f>IF('Form. Financeiro'!C36="","",'Form. Financeiro'!C36)</f>
        <v/>
      </c>
      <c r="D9" s="36" t="str">
        <f>IF('Form. Financeiro'!C59="","",'Form. Financeiro'!C59)</f>
        <v/>
      </c>
      <c r="E9" s="36" t="str">
        <f>IF('Form. Financeiro'!C82="","",'Form. Financeiro'!C82)</f>
        <v/>
      </c>
      <c r="F9" s="36" t="str">
        <f>IF('Form. Financeiro'!C105="","",'Form. Financeiro'!C105)</f>
        <v/>
      </c>
      <c r="G9" s="37" t="str">
        <f>IF('Form. Financeiro'!C128="","",'Form. Financeiro'!C128)</f>
        <v/>
      </c>
    </row>
    <row r="10" spans="1:7" ht="24" customHeight="1" x14ac:dyDescent="0.25">
      <c r="A10" s="18" t="s">
        <v>61</v>
      </c>
      <c r="B10" s="36">
        <f>IF('Form. Financeiro'!C14="","",'Form. Financeiro'!C14)</f>
        <v>6685.92</v>
      </c>
      <c r="C10" s="36" t="str">
        <f>IF('Form. Financeiro'!C37="","",'Form. Financeiro'!C37)</f>
        <v/>
      </c>
      <c r="D10" s="36" t="str">
        <f>IF('Form. Financeiro'!C60="","",'Form. Financeiro'!C60)</f>
        <v/>
      </c>
      <c r="E10" s="36" t="str">
        <f>IF('Form. Financeiro'!C83="","",'Form. Financeiro'!C83)</f>
        <v/>
      </c>
      <c r="F10" s="36" t="str">
        <f>IF('Form. Financeiro'!C106="","",'Form. Financeiro'!C106)</f>
        <v/>
      </c>
      <c r="G10" s="37" t="str">
        <f>IF('Form. Financeiro'!C129="","",'Form. Financeiro'!C129)</f>
        <v/>
      </c>
    </row>
    <row r="11" spans="1:7" ht="24" customHeight="1" x14ac:dyDescent="0.25">
      <c r="A11" s="18" t="s">
        <v>62</v>
      </c>
      <c r="B11" s="36">
        <f>IF('Form. Financeiro'!C15="","",'Form. Financeiro'!C15)</f>
        <v>367455.61</v>
      </c>
      <c r="C11" s="36" t="str">
        <f>IF('Form. Financeiro'!C38="","",'Form. Financeiro'!C38)</f>
        <v/>
      </c>
      <c r="D11" s="36" t="str">
        <f>IF('Form. Financeiro'!C61="","",'Form. Financeiro'!C61)</f>
        <v/>
      </c>
      <c r="E11" s="36" t="str">
        <f>IF('Form. Financeiro'!C84="","",'Form. Financeiro'!C84)</f>
        <v/>
      </c>
      <c r="F11" s="36" t="str">
        <f>IF('Form. Financeiro'!C107="","",'Form. Financeiro'!C107)</f>
        <v/>
      </c>
      <c r="G11" s="37" t="str">
        <f>IF('Form. Financeiro'!C130="","",'Form. Financeiro'!C130)</f>
        <v/>
      </c>
    </row>
    <row r="12" spans="1:7" ht="26.1" customHeight="1" x14ac:dyDescent="0.25">
      <c r="A12" s="131" t="s">
        <v>63</v>
      </c>
      <c r="B12" s="162"/>
      <c r="C12" s="162"/>
      <c r="D12" s="162"/>
      <c r="E12" s="162"/>
      <c r="F12" s="162"/>
      <c r="G12" s="163"/>
    </row>
    <row r="13" spans="1:7" ht="27.95" customHeight="1" x14ac:dyDescent="0.25">
      <c r="A13" s="35" t="s">
        <v>64</v>
      </c>
      <c r="B13" s="54">
        <f>IF('Form. Financeiro'!C17="","",'Form. Financeiro'!C17)</f>
        <v>17690</v>
      </c>
      <c r="C13" s="54">
        <f>IF('Form. Financeiro'!C40="","",'Form. Financeiro'!C40)</f>
        <v>16342</v>
      </c>
      <c r="D13" s="54">
        <f>IF('Form. Financeiro'!C63="","",'Form. Financeiro'!C63)</f>
        <v>15900</v>
      </c>
      <c r="E13" s="54">
        <f>IF('Form. Financeiro'!C86="","",'Form. Financeiro'!C86)</f>
        <v>14500</v>
      </c>
      <c r="F13" s="54">
        <f>IF('Form. Financeiro'!C109="","",'Form. Financeiro'!C109)</f>
        <v>17326.75</v>
      </c>
      <c r="G13" s="55">
        <f>IF('Form. Financeiro'!C132="","",'Form. Financeiro'!C132)</f>
        <v>16500</v>
      </c>
    </row>
    <row r="14" spans="1:7" ht="26.1" customHeight="1" x14ac:dyDescent="0.25">
      <c r="A14" s="131" t="s">
        <v>65</v>
      </c>
      <c r="B14" s="162"/>
      <c r="C14" s="162"/>
      <c r="D14" s="162"/>
      <c r="E14" s="162"/>
      <c r="F14" s="162"/>
      <c r="G14" s="163"/>
    </row>
    <row r="15" spans="1:7" ht="24" customHeight="1" x14ac:dyDescent="0.25">
      <c r="A15" s="18" t="s">
        <v>66</v>
      </c>
      <c r="B15" s="36">
        <f>IF('Form. Financeiro'!C19="","",'Form. Financeiro'!C19)</f>
        <v>9029.9500000000007</v>
      </c>
      <c r="C15" s="36" t="str">
        <f>IF('Form. Financeiro'!C42="","",'Form. Financeiro'!C42)</f>
        <v/>
      </c>
      <c r="D15" s="36" t="str">
        <f>IF('Form. Financeiro'!C65="","",'Form. Financeiro'!C65)</f>
        <v/>
      </c>
      <c r="E15" s="36" t="str">
        <f>IF('Form. Financeiro'!C88="","",'Form. Financeiro'!C88)</f>
        <v/>
      </c>
      <c r="F15" s="36" t="str">
        <f>IF('Form. Financeiro'!C111="","",'Form. Financeiro'!C111)</f>
        <v/>
      </c>
      <c r="G15" s="37" t="str">
        <f>IF('Form. Financeiro'!C134="","",'Form. Financeiro'!C134)</f>
        <v/>
      </c>
    </row>
    <row r="16" spans="1:7" ht="24" customHeight="1" x14ac:dyDescent="0.25">
      <c r="A16" s="18" t="s">
        <v>67</v>
      </c>
      <c r="B16" s="36">
        <f>IF('Form. Financeiro'!C20="","",'Form. Financeiro'!C20)</f>
        <v>4330.0200000000004</v>
      </c>
      <c r="C16" s="36" t="str">
        <f>IF('Form. Financeiro'!C43="","",'Form. Financeiro'!C43)</f>
        <v/>
      </c>
      <c r="D16" s="36" t="str">
        <f>IF('Form. Financeiro'!C66="","",'Form. Financeiro'!C66)</f>
        <v/>
      </c>
      <c r="E16" s="36" t="str">
        <f>IF('Form. Financeiro'!C89="","",'Form. Financeiro'!C89)</f>
        <v/>
      </c>
      <c r="F16" s="36" t="str">
        <f>IF('Form. Financeiro'!C112="","",'Form. Financeiro'!C112)</f>
        <v/>
      </c>
      <c r="G16" s="37" t="str">
        <f>IF('Form. Financeiro'!C135="","",'Form. Financeiro'!C135)</f>
        <v/>
      </c>
    </row>
    <row r="17" spans="1:7" ht="24" customHeight="1" x14ac:dyDescent="0.25">
      <c r="A17" s="18" t="s">
        <v>68</v>
      </c>
      <c r="B17" s="36">
        <f>IF('Form. Financeiro'!C21="","",'Form. Financeiro'!C21)</f>
        <v>4330.0200000000004</v>
      </c>
      <c r="C17" s="36" t="str">
        <f>IF('Form. Financeiro'!C44="","",'Form. Financeiro'!C44)</f>
        <v/>
      </c>
      <c r="D17" s="36" t="str">
        <f>IF('Form. Financeiro'!C67="","",'Form. Financeiro'!C67)</f>
        <v/>
      </c>
      <c r="E17" s="36" t="str">
        <f>IF('Form. Financeiro'!C90="","",'Form. Financeiro'!C90)</f>
        <v/>
      </c>
      <c r="F17" s="36" t="str">
        <f>IF('Form. Financeiro'!C113="","",'Form. Financeiro'!C113)</f>
        <v/>
      </c>
      <c r="G17" s="37" t="str">
        <f>IF('Form. Financeiro'!C136="","",'Form. Financeiro'!C136)</f>
        <v/>
      </c>
    </row>
    <row r="18" spans="1:7" ht="26.1" customHeight="1" x14ac:dyDescent="0.25">
      <c r="A18" s="131" t="s">
        <v>69</v>
      </c>
      <c r="B18" s="162"/>
      <c r="C18" s="162"/>
      <c r="D18" s="162"/>
      <c r="E18" s="162"/>
      <c r="F18" s="162"/>
      <c r="G18" s="163"/>
    </row>
    <row r="19" spans="1:7" ht="24" customHeight="1" x14ac:dyDescent="0.25">
      <c r="A19" s="18" t="s">
        <v>70</v>
      </c>
      <c r="B19" s="95" t="str">
        <f>IF('Form. Financeiro'!C23="","",'Form. Financeiro'!C23)</f>
        <v>31 meses</v>
      </c>
      <c r="C19" s="57" t="str">
        <f>IF('Form. Financeiro'!C46="","",'Form. Financeiro'!C46)</f>
        <v/>
      </c>
      <c r="D19" s="57" t="str">
        <f>IF('Form. Financeiro'!C69="","",'Form. Financeiro'!C69)</f>
        <v/>
      </c>
      <c r="E19" s="57" t="str">
        <f>IF('Form. Financeiro'!C92="","",'Form. Financeiro'!C92)</f>
        <v/>
      </c>
      <c r="F19" s="57" t="str">
        <f>IF('Form. Financeiro'!C115="","",'Form. Financeiro'!C115)</f>
        <v/>
      </c>
      <c r="G19" s="58" t="str">
        <f>IF('Form. Financeiro'!C138="","",'Form. Financeiro'!C138)</f>
        <v/>
      </c>
    </row>
    <row r="20" spans="1:7" ht="24" customHeight="1" x14ac:dyDescent="0.25">
      <c r="A20" s="18" t="s">
        <v>72</v>
      </c>
      <c r="B20" s="95" t="str">
        <f>IF('Form. Financeiro'!C24="","",'Form. Financeiro'!C24)</f>
        <v>37,80%</v>
      </c>
      <c r="C20" s="57" t="str">
        <f>IF('Form. Financeiro'!C47="","",'Form. Financeiro'!C47)</f>
        <v/>
      </c>
      <c r="D20" s="57" t="str">
        <f>IF('Form. Financeiro'!C70="","",'Form. Financeiro'!C70)</f>
        <v/>
      </c>
      <c r="E20" s="57" t="str">
        <f>IF('Form. Financeiro'!C93="","",'Form. Financeiro'!C93)</f>
        <v/>
      </c>
      <c r="F20" s="57" t="str">
        <f>IF('Form. Financeiro'!C116="","",'Form. Financeiro'!C116)</f>
        <v/>
      </c>
      <c r="G20" s="58" t="str">
        <f>IF('Form. Financeiro'!C139="","",'Form. Financeiro'!C139)</f>
        <v/>
      </c>
    </row>
    <row r="21" spans="1:7" ht="24" customHeight="1" x14ac:dyDescent="0.25">
      <c r="A21" s="18" t="s">
        <v>73</v>
      </c>
      <c r="B21" s="95" t="s">
        <v>74</v>
      </c>
      <c r="C21" s="57"/>
      <c r="D21" s="57"/>
      <c r="E21" s="57"/>
      <c r="F21" s="57"/>
      <c r="G21" s="58"/>
    </row>
    <row r="22" spans="1:7" ht="24" customHeight="1" x14ac:dyDescent="0.25">
      <c r="A22" s="18" t="s">
        <v>75</v>
      </c>
      <c r="B22" s="95" t="str">
        <f>IF('Form. Financeiro'!C25="","",'Form. Financeiro'!C25)</f>
        <v>Não informado</v>
      </c>
      <c r="C22" s="57" t="str">
        <f>IF('Form. Financeiro'!C48="","",'Form. Financeiro'!C48)</f>
        <v/>
      </c>
      <c r="D22" s="57" t="str">
        <f>IF('Form. Financeiro'!C71="","",'Form. Financeiro'!C71)</f>
        <v/>
      </c>
      <c r="E22" s="57" t="str">
        <f>IF('Form. Financeiro'!C94="","",'Form. Financeiro'!C94)</f>
        <v/>
      </c>
      <c r="F22" s="57" t="str">
        <f>IF('Form. Financeiro'!C117="","",'Form. Financeiro'!C117)</f>
        <v/>
      </c>
      <c r="G22" s="58" t="str">
        <f>IF('Form. Financeiro'!C140="","",'Form. Financeiro'!C140)</f>
        <v/>
      </c>
    </row>
    <row r="23" spans="1:7" ht="26.1" customHeight="1" x14ac:dyDescent="0.25">
      <c r="A23" s="131" t="s">
        <v>77</v>
      </c>
      <c r="B23" s="162"/>
      <c r="C23" s="162"/>
      <c r="D23" s="162"/>
      <c r="E23" s="162"/>
      <c r="F23" s="162"/>
      <c r="G23" s="163"/>
    </row>
    <row r="24" spans="1:7" ht="24" customHeight="1" x14ac:dyDescent="0.25">
      <c r="A24" s="18" t="s">
        <v>78</v>
      </c>
      <c r="B24" s="95" t="str">
        <f>IF('Form. Financeiro'!C28="","",'Form. Financeiro'!C28)</f>
        <v>Não informado</v>
      </c>
      <c r="C24" s="57" t="str">
        <f>IF('Form. Financeiro'!C51="","",'Form. Financeiro'!C51)</f>
        <v/>
      </c>
      <c r="D24" s="57" t="str">
        <f>IF('Form. Financeiro'!C74="","",'Form. Financeiro'!C74)</f>
        <v/>
      </c>
      <c r="E24" s="57" t="str">
        <f>IF('Form. Financeiro'!C97="","",'Form. Financeiro'!C97)</f>
        <v/>
      </c>
      <c r="F24" s="57" t="str">
        <f>IF('Form. Financeiro'!C120="","",'Form. Financeiro'!C120)</f>
        <v/>
      </c>
      <c r="G24" s="58" t="str">
        <f>IF('Form. Financeiro'!C143="","",'Form. Financeiro'!C143)</f>
        <v/>
      </c>
    </row>
    <row r="25" spans="1:7" ht="24" customHeight="1" x14ac:dyDescent="0.25">
      <c r="A25" s="18" t="s">
        <v>79</v>
      </c>
      <c r="B25" s="95" t="str">
        <f>IF('Form. Financeiro'!C27="","",'Form. Financeiro'!C27)</f>
        <v>7% ao ano</v>
      </c>
      <c r="C25" s="57" t="str">
        <f>IF('Form. Financeiro'!C50="","",'Form. Financeiro'!C50)</f>
        <v/>
      </c>
      <c r="D25" s="57" t="str">
        <f>IF('Form. Financeiro'!C73="","",'Form. Financeiro'!C73)</f>
        <v/>
      </c>
      <c r="E25" s="57" t="str">
        <f>IF('Form. Financeiro'!C96="","",'Form. Financeiro'!C96)</f>
        <v/>
      </c>
      <c r="F25" s="57" t="str">
        <f>IF('Form. Financeiro'!C119="","",'Form. Financeiro'!C119)</f>
        <v/>
      </c>
      <c r="G25" s="58" t="str">
        <f>IF('Form. Financeiro'!C142="","",'Form. Financeiro'!C142)</f>
        <v/>
      </c>
    </row>
    <row r="26" spans="1:7" ht="24" customHeight="1" thickBot="1" x14ac:dyDescent="0.3">
      <c r="A26" s="38" t="s">
        <v>80</v>
      </c>
      <c r="B26" s="96" t="str">
        <f>IF('Form. Financeiro'!C29="","",'Form. Financeiro'!C29)</f>
        <v>Baixa</v>
      </c>
      <c r="C26" s="59" t="str">
        <f>IF('Form. Financeiro'!C52="","",'Form. Financeiro'!C52)</f>
        <v/>
      </c>
      <c r="D26" s="59" t="str">
        <f>IF('Form. Financeiro'!C75="","",'Form. Financeiro'!C75)</f>
        <v/>
      </c>
      <c r="E26" s="59" t="str">
        <f>IF('Form. Financeiro'!C98="","",'Form. Financeiro'!C98)</f>
        <v/>
      </c>
      <c r="F26" s="59" t="str">
        <f>IF('Form. Financeiro'!C121="","",'Form. Financeiro'!C121)</f>
        <v/>
      </c>
      <c r="G26" s="60" t="str">
        <f>IF('Form. Financeiro'!C144="","",'Form. Financeiro'!C144)</f>
        <v/>
      </c>
    </row>
    <row r="27" spans="1:7" x14ac:dyDescent="0.25">
      <c r="B27" s="61"/>
      <c r="C27" s="61"/>
      <c r="D27" s="61"/>
      <c r="E27" s="61"/>
      <c r="F27" s="61"/>
      <c r="G27" s="61"/>
    </row>
    <row r="28" spans="1:7" ht="27.95" customHeight="1" x14ac:dyDescent="0.25">
      <c r="A28" s="150" t="s">
        <v>312</v>
      </c>
      <c r="B28" s="151"/>
      <c r="C28" s="151"/>
      <c r="D28" s="151"/>
      <c r="E28" s="151"/>
      <c r="F28" s="151"/>
      <c r="G28" s="152"/>
    </row>
    <row r="29" spans="1:7" ht="50.1" customHeight="1" x14ac:dyDescent="0.25">
      <c r="A29" s="153" t="s">
        <v>313</v>
      </c>
      <c r="B29" s="154"/>
      <c r="C29" s="154"/>
      <c r="D29" s="154"/>
      <c r="E29" s="154"/>
      <c r="F29" s="154"/>
      <c r="G29" s="155"/>
    </row>
    <row r="30" spans="1:7" ht="90" customHeight="1" x14ac:dyDescent="0.25">
      <c r="A30" s="153" t="s">
        <v>314</v>
      </c>
      <c r="B30" s="154"/>
      <c r="C30" s="154"/>
      <c r="D30" s="154"/>
      <c r="E30" s="154"/>
      <c r="F30" s="154"/>
      <c r="G30" s="155"/>
    </row>
    <row r="31" spans="1:7" ht="50.1" customHeight="1" x14ac:dyDescent="0.25">
      <c r="A31" s="156" t="s">
        <v>315</v>
      </c>
      <c r="B31" s="157"/>
      <c r="C31" s="157"/>
      <c r="D31" s="157"/>
      <c r="E31" s="157"/>
      <c r="F31" s="157"/>
      <c r="G31" s="158"/>
    </row>
    <row r="32" spans="1:7" ht="50.1" customHeight="1" x14ac:dyDescent="0.25">
      <c r="A32" s="159" t="s">
        <v>316</v>
      </c>
      <c r="B32" s="160"/>
      <c r="C32" s="160"/>
      <c r="D32" s="160"/>
      <c r="E32" s="160"/>
      <c r="F32" s="160"/>
      <c r="G32" s="161"/>
    </row>
    <row r="34" spans="1:1" x14ac:dyDescent="0.25">
      <c r="A34" s="94" t="s">
        <v>341</v>
      </c>
    </row>
    <row r="35" spans="1:1" ht="36.75" x14ac:dyDescent="0.25">
      <c r="A35" s="94" t="s">
        <v>340</v>
      </c>
    </row>
  </sheetData>
  <mergeCells count="15">
    <mergeCell ref="A23:G23"/>
    <mergeCell ref="A1:G1"/>
    <mergeCell ref="A2:B2"/>
    <mergeCell ref="C2:D2"/>
    <mergeCell ref="E2:G2"/>
    <mergeCell ref="A4:G4"/>
    <mergeCell ref="A6:G6"/>
    <mergeCell ref="A12:G12"/>
    <mergeCell ref="A14:G14"/>
    <mergeCell ref="A18:G18"/>
    <mergeCell ref="A28:G28"/>
    <mergeCell ref="A29:G29"/>
    <mergeCell ref="A30:G30"/>
    <mergeCell ref="A31:G31"/>
    <mergeCell ref="A32:G32"/>
  </mergeCells>
  <hyperlinks>
    <hyperlink ref="A2" location="'Form. Financeiro'!A1" display="← Voltar ao Form. Financeiro" xr:uid="{47386353-D4A5-4B0C-B9F4-4373B5296E31}"/>
    <hyperlink ref="C2" location="'🏠 Início'!A1" display="🏠 Início" xr:uid="{89BA66EC-3F30-4D28-B462-36EF26FE8EFD}"/>
    <hyperlink ref="E2" location="'Pontuação Geral'!A1" display="🏆 Ver Pontuação Final →" xr:uid="{AB9C19E6-3D75-4C5E-A3FA-A25817D35890}"/>
  </hyperlink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8">
    <tabColor rgb="FFD4A017"/>
  </sheetPr>
  <dimension ref="A1:I47"/>
  <sheetViews>
    <sheetView zoomScale="88" zoomScaleNormal="88" workbookViewId="0">
      <pane xSplit="1" topLeftCell="B1" activePane="topRight" state="frozen"/>
      <selection pane="topRight" activeCell="J21" sqref="J21"/>
    </sheetView>
  </sheetViews>
  <sheetFormatPr defaultColWidth="8.7109375" defaultRowHeight="15" x14ac:dyDescent="0.25"/>
  <cols>
    <col min="1" max="1" width="38.140625" style="1" customWidth="1"/>
    <col min="2" max="7" width="21" customWidth="1"/>
    <col min="8" max="9" width="7.5703125" customWidth="1"/>
  </cols>
  <sheetData>
    <row r="1" spans="1:7" ht="37.5" customHeight="1" x14ac:dyDescent="0.5">
      <c r="A1" s="195" t="s">
        <v>207</v>
      </c>
      <c r="B1" s="195"/>
      <c r="C1" s="195"/>
      <c r="D1" s="195"/>
      <c r="E1" s="195"/>
      <c r="F1" s="195"/>
      <c r="G1" s="195"/>
    </row>
    <row r="2" spans="1:7" ht="30" customHeight="1" x14ac:dyDescent="0.3">
      <c r="A2" s="196" t="s">
        <v>200</v>
      </c>
      <c r="B2" s="197"/>
      <c r="C2" s="198" t="s">
        <v>208</v>
      </c>
      <c r="D2" s="199"/>
      <c r="E2" s="198" t="s">
        <v>209</v>
      </c>
      <c r="F2" s="199"/>
      <c r="G2" s="199"/>
    </row>
    <row r="3" spans="1:7" ht="8.1" customHeight="1" thickBot="1" x14ac:dyDescent="0.35">
      <c r="A3" s="13"/>
      <c r="B3" s="2"/>
      <c r="C3" s="2"/>
      <c r="D3" s="2"/>
      <c r="E3" s="2"/>
      <c r="F3" s="2"/>
      <c r="G3" s="2"/>
    </row>
    <row r="4" spans="1:7" ht="36" customHeight="1" x14ac:dyDescent="0.25">
      <c r="A4" s="192" t="s">
        <v>333</v>
      </c>
      <c r="B4" s="193"/>
      <c r="C4" s="193"/>
      <c r="D4" s="193"/>
      <c r="E4" s="193"/>
      <c r="F4" s="193"/>
      <c r="G4" s="194"/>
    </row>
    <row r="5" spans="1:7" ht="36" customHeight="1" x14ac:dyDescent="0.25">
      <c r="A5" s="66" t="s">
        <v>56</v>
      </c>
      <c r="B5" s="63" t="str">
        <f>IF('Form. Empresa'!C9="","1",'Form. Empresa'!C9)</f>
        <v>RENOVA</v>
      </c>
      <c r="C5" s="63" t="str">
        <f>IF('Form. Empresa'!C29="","2",'Form. Empresa'!C29)</f>
        <v>SOLI SOLAR</v>
      </c>
      <c r="D5" s="63" t="str">
        <f>IF('Form. Empresa'!C49="","3",'Form. Empresa'!C49)</f>
        <v>ENERGIA SGE</v>
      </c>
      <c r="E5" s="63" t="str">
        <f>IF('Form. Empresa'!C69="","4",'Form. Empresa'!C69)</f>
        <v>TAP SOLAR</v>
      </c>
      <c r="F5" s="63" t="str">
        <f>IF('Form. Empresa'!C89="","5",'Form. Empresa'!C89)</f>
        <v>FOTOVOLTA EXPRESS</v>
      </c>
      <c r="G5" s="69" t="str">
        <f>IF('Form. Empresa'!C109="","6",'Form. Empresa'!C109)</f>
        <v>SELF SOLAR</v>
      </c>
    </row>
    <row r="6" spans="1:7" ht="31.5" customHeight="1" x14ac:dyDescent="0.25">
      <c r="A6" s="67" t="s">
        <v>81</v>
      </c>
      <c r="B6" s="64">
        <f>'Viabilidade Financeira'!B13</f>
        <v>17690</v>
      </c>
      <c r="C6" s="64">
        <f>'Viabilidade Financeira'!C13</f>
        <v>16342</v>
      </c>
      <c r="D6" s="64">
        <f>'Viabilidade Financeira'!D13</f>
        <v>15900</v>
      </c>
      <c r="E6" s="64">
        <f>'Viabilidade Financeira'!E13</f>
        <v>14500</v>
      </c>
      <c r="F6" s="64">
        <f>'Viabilidade Financeira'!F13</f>
        <v>17326.75</v>
      </c>
      <c r="G6" s="70">
        <f>'Viabilidade Financeira'!G13</f>
        <v>16500</v>
      </c>
    </row>
    <row r="7" spans="1:7" ht="31.5" customHeight="1" x14ac:dyDescent="0.25">
      <c r="A7" s="67" t="s">
        <v>216</v>
      </c>
      <c r="B7" s="65">
        <f>'Avaliação Empresas'!C24</f>
        <v>81</v>
      </c>
      <c r="C7" s="65">
        <f>'Avaliação Empresas'!E24</f>
        <v>92</v>
      </c>
      <c r="D7" s="65">
        <f>'Avaliação Empresas'!G24</f>
        <v>26</v>
      </c>
      <c r="E7" s="65">
        <f>'Avaliação Empresas'!I24</f>
        <v>46</v>
      </c>
      <c r="F7" s="65">
        <f>'Avaliação Empresas'!K24</f>
        <v>72</v>
      </c>
      <c r="G7" s="71">
        <f>'Avaliação Empresas'!M24</f>
        <v>41</v>
      </c>
    </row>
    <row r="8" spans="1:7" ht="31.5" customHeight="1" x14ac:dyDescent="0.25">
      <c r="A8" s="83" t="s">
        <v>82</v>
      </c>
      <c r="B8" s="84">
        <f>IF('Avaliação Empresas'!C26=0,0,ROUND(B7/'Avaliação Empresas'!C26*10,2))</f>
        <v>6.23</v>
      </c>
      <c r="C8" s="84">
        <f>IF('Avaliação Empresas'!E26=0,0,ROUND(C7/'Avaliação Empresas'!E26*10,2))</f>
        <v>7.08</v>
      </c>
      <c r="D8" s="84">
        <f>IF('Avaliação Empresas'!G26=0,0,ROUND(D7/'Avaliação Empresas'!G26*10,2))</f>
        <v>2</v>
      </c>
      <c r="E8" s="84">
        <f>IF('Avaliação Empresas'!I26=0,0,ROUND(E7/'Avaliação Empresas'!I26*10,2))</f>
        <v>3.54</v>
      </c>
      <c r="F8" s="84">
        <f>IF('Avaliação Empresas'!K26=0,0,ROUND(F7/'Avaliação Empresas'!K26*10,2))</f>
        <v>5.54</v>
      </c>
      <c r="G8" s="85">
        <f>IF('Avaliação Empresas'!M26=0,0,ROUND(G7/'Avaliação Empresas'!M26*10,2))</f>
        <v>3.15</v>
      </c>
    </row>
    <row r="9" spans="1:7" ht="31.5" customHeight="1" x14ac:dyDescent="0.25">
      <c r="A9" s="67" t="s">
        <v>217</v>
      </c>
      <c r="B9" s="65">
        <f>'Avaliação Tecnológica'!C35</f>
        <v>164</v>
      </c>
      <c r="C9" s="65">
        <f>'Avaliação Tecnológica'!E35</f>
        <v>172</v>
      </c>
      <c r="D9" s="65">
        <f>'Avaliação Tecnológica'!G35</f>
        <v>152</v>
      </c>
      <c r="E9" s="65">
        <f>'Avaliação Tecnológica'!I35</f>
        <v>166</v>
      </c>
      <c r="F9" s="65">
        <f>'Avaliação Tecnológica'!K35</f>
        <v>137</v>
      </c>
      <c r="G9" s="71">
        <f>'Avaliação Tecnológica'!M35</f>
        <v>161</v>
      </c>
    </row>
    <row r="10" spans="1:7" ht="31.5" customHeight="1" x14ac:dyDescent="0.25">
      <c r="A10" s="83" t="s">
        <v>82</v>
      </c>
      <c r="B10" s="84">
        <f>IF('Avaliação Tecnológica'!C37=0,0,ROUND(B9/'Avaliação Tecnológica'!C37*10,2))</f>
        <v>8.6300000000000008</v>
      </c>
      <c r="C10" s="84">
        <f>IF('Avaliação Tecnológica'!E37=0,0,ROUND(C9/'Avaliação Tecnológica'!E37*10,2))</f>
        <v>9.0500000000000007</v>
      </c>
      <c r="D10" s="84">
        <f>IF('Avaliação Tecnológica'!G37=0,0,ROUND(D9/'Avaliação Tecnológica'!G37*10,2))</f>
        <v>8</v>
      </c>
      <c r="E10" s="84">
        <f>IF('Avaliação Tecnológica'!I37=0,0,ROUND(E9/'Avaliação Tecnológica'!I37*10,2))</f>
        <v>8.74</v>
      </c>
      <c r="F10" s="84">
        <f>IF('Avaliação Tecnológica'!K37=0,0,ROUND(F9/'Avaliação Tecnológica'!K37*10,2))</f>
        <v>7.21</v>
      </c>
      <c r="G10" s="85">
        <f>IF('Avaliação Tecnológica'!M37=0,0,ROUND(G9/'Avaliação Tecnológica'!M37*10,2))</f>
        <v>8.4700000000000006</v>
      </c>
    </row>
    <row r="11" spans="1:7" ht="31.5" customHeight="1" x14ac:dyDescent="0.25">
      <c r="A11" s="67" t="s">
        <v>218</v>
      </c>
      <c r="B11" s="65">
        <f t="shared" ref="B11:G11" si="0">B7+B9</f>
        <v>245</v>
      </c>
      <c r="C11" s="65">
        <f t="shared" si="0"/>
        <v>264</v>
      </c>
      <c r="D11" s="65">
        <f t="shared" si="0"/>
        <v>178</v>
      </c>
      <c r="E11" s="65">
        <f t="shared" si="0"/>
        <v>212</v>
      </c>
      <c r="F11" s="65">
        <f t="shared" si="0"/>
        <v>209</v>
      </c>
      <c r="G11" s="71">
        <f t="shared" si="0"/>
        <v>202</v>
      </c>
    </row>
    <row r="12" spans="1:7" ht="24" customHeight="1" x14ac:dyDescent="0.25">
      <c r="A12" s="86" t="s">
        <v>82</v>
      </c>
      <c r="B12" s="87">
        <f>IF(('Avaliação Empresas'!C26+'Avaliação Tecnológica'!C37)=0,0,ROUND(B11/('Avaliação Empresas'!C26+'Avaliação Tecnológica'!C37)*10,2))</f>
        <v>7.66</v>
      </c>
      <c r="C12" s="87">
        <f>IF(('Avaliação Empresas'!E26+'Avaliação Tecnológica'!E37)=0,0,ROUND(C11/('Avaliação Empresas'!E26+'Avaliação Tecnológica'!E37)*10,2))</f>
        <v>8.25</v>
      </c>
      <c r="D12" s="87">
        <f>IF(('Avaliação Empresas'!G26+'Avaliação Tecnológica'!G37)=0,0,ROUND(D11/('Avaliação Empresas'!G26+'Avaliação Tecnológica'!G37)*10,2))</f>
        <v>5.56</v>
      </c>
      <c r="E12" s="87">
        <f>IF(('Avaliação Empresas'!I26+'Avaliação Tecnológica'!I37)=0,0,ROUND(E11/('Avaliação Empresas'!I26+'Avaliação Tecnológica'!I37)*10,2))</f>
        <v>6.63</v>
      </c>
      <c r="F12" s="87">
        <f>IF(('Avaliação Empresas'!K26+'Avaliação Tecnológica'!K37)=0,0,ROUND(F11/('Avaliação Empresas'!K26+'Avaliação Tecnológica'!K37)*10,2))</f>
        <v>6.53</v>
      </c>
      <c r="G12" s="88">
        <f>IF(('Avaliação Empresas'!M26+'Avaliação Tecnológica'!M37)=0,0,ROUND(G11/('Avaliação Empresas'!M26+'Avaliação Tecnológica'!M37)*10,2))</f>
        <v>6.31</v>
      </c>
    </row>
    <row r="13" spans="1:7" ht="20.100000000000001" hidden="1" customHeight="1" x14ac:dyDescent="0.25">
      <c r="A13" s="68"/>
      <c r="G13" s="72"/>
    </row>
    <row r="14" spans="1:7" ht="32.1" customHeight="1" x14ac:dyDescent="0.25">
      <c r="A14" s="81" t="s">
        <v>219</v>
      </c>
      <c r="B14" s="77" t="s">
        <v>337</v>
      </c>
      <c r="C14" s="77" t="s">
        <v>337</v>
      </c>
      <c r="D14" s="77" t="s">
        <v>343</v>
      </c>
      <c r="E14" s="77" t="s">
        <v>343</v>
      </c>
      <c r="F14" s="77" t="s">
        <v>343</v>
      </c>
      <c r="G14" s="78" t="s">
        <v>343</v>
      </c>
    </row>
    <row r="15" spans="1:7" ht="36" customHeight="1" x14ac:dyDescent="0.25">
      <c r="A15" s="177" t="str">
        <f>IF(COUNTIF(B14:G14,"*Finalista*")=2,"✅  2 finalistas selecionados",IF(COUNTIF(B14:G14,"*Finalista*")&lt;2,"⚠️  Faltam finalistas — escolha exatamente 2 na linha acima","⚠️  Finalistas em excesso — selecione apenas 2 na linha acima"))</f>
        <v>✅  2 finalistas selecionados</v>
      </c>
      <c r="B15" s="178"/>
      <c r="C15" s="178"/>
      <c r="D15" s="178"/>
      <c r="E15" s="178"/>
      <c r="F15" s="178"/>
      <c r="G15" s="179"/>
    </row>
    <row r="16" spans="1:7" s="79" customFormat="1" ht="13.5" customHeight="1" thickBot="1" x14ac:dyDescent="0.35">
      <c r="A16" s="82"/>
      <c r="B16" s="80"/>
      <c r="C16" s="80"/>
      <c r="D16" s="80"/>
      <c r="E16" s="80"/>
      <c r="F16" s="80"/>
      <c r="G16" s="80"/>
    </row>
    <row r="17" spans="1:9" ht="36" customHeight="1" x14ac:dyDescent="0.25">
      <c r="A17" s="174" t="s">
        <v>334</v>
      </c>
      <c r="B17" s="175"/>
      <c r="C17" s="175"/>
      <c r="D17" s="175"/>
      <c r="E17" s="175"/>
      <c r="F17" s="175"/>
      <c r="G17" s="176"/>
    </row>
    <row r="18" spans="1:9" ht="36" customHeight="1" x14ac:dyDescent="0.45">
      <c r="A18" s="189" t="s">
        <v>317</v>
      </c>
      <c r="B18" s="190"/>
      <c r="C18" s="190"/>
      <c r="D18" s="190"/>
      <c r="E18" s="190"/>
      <c r="F18" s="190"/>
      <c r="G18" s="191"/>
    </row>
    <row r="19" spans="1:9" ht="8.1" customHeight="1" x14ac:dyDescent="0.25">
      <c r="A19"/>
    </row>
    <row r="20" spans="1:9" ht="12" customHeight="1" x14ac:dyDescent="0.25">
      <c r="A20" s="232" t="s">
        <v>318</v>
      </c>
      <c r="B20" s="101"/>
      <c r="C20" s="101"/>
      <c r="D20" s="101"/>
      <c r="E20" s="101"/>
      <c r="F20" s="101"/>
      <c r="G20" s="101"/>
      <c r="H20" s="101"/>
      <c r="I20" s="101"/>
    </row>
    <row r="21" spans="1:9" ht="75.95" customHeight="1" x14ac:dyDescent="0.25">
      <c r="A21"/>
      <c r="B21" s="229"/>
      <c r="C21" s="229"/>
      <c r="D21" s="229"/>
      <c r="E21" s="229"/>
      <c r="F21" s="229"/>
      <c r="G21" s="229"/>
      <c r="H21" s="229"/>
      <c r="I21" s="229"/>
    </row>
    <row r="22" spans="1:9" ht="3.95" customHeight="1" x14ac:dyDescent="0.25">
      <c r="A22"/>
      <c r="B22" s="229"/>
      <c r="C22" s="229"/>
      <c r="D22" s="229"/>
      <c r="E22" s="229"/>
      <c r="F22" s="229"/>
      <c r="G22" s="229"/>
      <c r="H22" s="229"/>
      <c r="I22" s="229"/>
    </row>
    <row r="23" spans="1:9" ht="8.1" customHeight="1" x14ac:dyDescent="0.25">
      <c r="A23"/>
    </row>
    <row r="24" spans="1:9" ht="8.1" customHeight="1" x14ac:dyDescent="0.25">
      <c r="A24"/>
    </row>
    <row r="25" spans="1:9" s="79" customFormat="1" ht="10.5" customHeight="1" x14ac:dyDescent="0.25"/>
    <row r="26" spans="1:9" ht="36" customHeight="1" x14ac:dyDescent="0.25">
      <c r="A26" s="230" t="s">
        <v>335</v>
      </c>
      <c r="B26" s="231"/>
      <c r="C26" s="231"/>
      <c r="D26" s="231"/>
      <c r="E26" s="231"/>
      <c r="F26" s="231"/>
      <c r="G26" s="231"/>
      <c r="H26" s="231"/>
      <c r="I26" s="231"/>
    </row>
    <row r="27" spans="1:9" ht="8.1" customHeight="1" x14ac:dyDescent="0.25">
      <c r="A27" s="73"/>
      <c r="G27" s="75"/>
    </row>
    <row r="28" spans="1:9" ht="8.1" customHeight="1" x14ac:dyDescent="0.25">
      <c r="A28" s="74"/>
      <c r="B28" s="62"/>
      <c r="C28" s="62"/>
      <c r="D28" s="62"/>
      <c r="E28" s="62"/>
      <c r="F28" s="62"/>
      <c r="G28" s="76"/>
    </row>
    <row r="29" spans="1:9" ht="30" customHeight="1" x14ac:dyDescent="0.25">
      <c r="A29" s="183" t="s">
        <v>319</v>
      </c>
      <c r="B29" s="184"/>
      <c r="C29" s="184"/>
      <c r="D29" s="184"/>
      <c r="E29" s="184"/>
      <c r="F29" s="184"/>
      <c r="G29" s="185"/>
    </row>
    <row r="30" spans="1:9" ht="30" customHeight="1" x14ac:dyDescent="0.25">
      <c r="A30" s="186" t="s">
        <v>320</v>
      </c>
      <c r="B30" s="187"/>
      <c r="C30" s="187"/>
      <c r="D30" s="187"/>
      <c r="E30" s="187"/>
      <c r="F30" s="187"/>
      <c r="G30" s="188"/>
    </row>
    <row r="31" spans="1:9" ht="30" customHeight="1" x14ac:dyDescent="0.25">
      <c r="A31" s="186" t="s">
        <v>321</v>
      </c>
      <c r="B31" s="187"/>
      <c r="C31" s="187"/>
      <c r="D31" s="187"/>
      <c r="E31" s="187"/>
      <c r="F31" s="187"/>
      <c r="G31" s="188"/>
    </row>
    <row r="32" spans="1:9" ht="8.1" customHeight="1" x14ac:dyDescent="0.25">
      <c r="A32" s="74"/>
      <c r="B32" s="62"/>
      <c r="C32" s="62"/>
      <c r="D32" s="62"/>
      <c r="E32" s="62"/>
      <c r="F32" s="62"/>
      <c r="G32" s="76"/>
    </row>
    <row r="33" spans="1:7" ht="24" customHeight="1" x14ac:dyDescent="0.25">
      <c r="A33" s="183" t="s">
        <v>322</v>
      </c>
      <c r="B33" s="184"/>
      <c r="C33" s="184"/>
      <c r="D33" s="184"/>
      <c r="E33" s="184"/>
      <c r="F33" s="184"/>
      <c r="G33" s="185"/>
    </row>
    <row r="34" spans="1:7" ht="24" customHeight="1" x14ac:dyDescent="0.25">
      <c r="A34" s="186" t="s">
        <v>323</v>
      </c>
      <c r="B34" s="187"/>
      <c r="C34" s="187"/>
      <c r="D34" s="187"/>
      <c r="E34" s="187"/>
      <c r="F34" s="187"/>
      <c r="G34" s="188"/>
    </row>
    <row r="35" spans="1:7" ht="24" customHeight="1" x14ac:dyDescent="0.25">
      <c r="A35" s="180" t="s">
        <v>324</v>
      </c>
      <c r="B35" s="181"/>
      <c r="C35" s="181"/>
      <c r="D35" s="181"/>
      <c r="E35" s="181"/>
      <c r="F35" s="181"/>
      <c r="G35" s="182"/>
    </row>
    <row r="36" spans="1:7" ht="24" customHeight="1" x14ac:dyDescent="0.25">
      <c r="A36" s="180" t="s">
        <v>325</v>
      </c>
      <c r="B36" s="181"/>
      <c r="C36" s="181"/>
      <c r="D36" s="181"/>
      <c r="E36" s="181"/>
      <c r="F36" s="181"/>
      <c r="G36" s="182"/>
    </row>
    <row r="37" spans="1:7" ht="30" customHeight="1" x14ac:dyDescent="0.25">
      <c r="A37" s="180" t="s">
        <v>326</v>
      </c>
      <c r="B37" s="181"/>
      <c r="C37" s="181"/>
      <c r="D37" s="181"/>
      <c r="E37" s="181"/>
      <c r="F37" s="181"/>
      <c r="G37" s="182"/>
    </row>
    <row r="38" spans="1:7" ht="8.1" customHeight="1" x14ac:dyDescent="0.25">
      <c r="A38" s="74"/>
      <c r="B38" s="62"/>
      <c r="C38" s="62"/>
      <c r="D38" s="62"/>
      <c r="E38" s="62"/>
      <c r="F38" s="62"/>
      <c r="G38" s="76"/>
    </row>
    <row r="39" spans="1:7" ht="24" customHeight="1" x14ac:dyDescent="0.25">
      <c r="A39" s="183" t="s">
        <v>327</v>
      </c>
      <c r="B39" s="184"/>
      <c r="C39" s="184"/>
      <c r="D39" s="184"/>
      <c r="E39" s="184"/>
      <c r="F39" s="184"/>
      <c r="G39" s="185"/>
    </row>
    <row r="40" spans="1:7" ht="30" customHeight="1" x14ac:dyDescent="0.25">
      <c r="A40" s="186" t="s">
        <v>328</v>
      </c>
      <c r="B40" s="187"/>
      <c r="C40" s="187"/>
      <c r="D40" s="187"/>
      <c r="E40" s="187"/>
      <c r="F40" s="187"/>
      <c r="G40" s="188"/>
    </row>
    <row r="41" spans="1:7" ht="38.1" customHeight="1" x14ac:dyDescent="0.25">
      <c r="A41" s="186" t="s">
        <v>329</v>
      </c>
      <c r="B41" s="187"/>
      <c r="C41" s="187"/>
      <c r="D41" s="187"/>
      <c r="E41" s="187"/>
      <c r="F41" s="187"/>
      <c r="G41" s="188"/>
    </row>
    <row r="42" spans="1:7" ht="8.1" customHeight="1" x14ac:dyDescent="0.25">
      <c r="A42" s="74"/>
      <c r="B42" s="62"/>
      <c r="C42" s="62"/>
      <c r="D42" s="62"/>
      <c r="E42" s="62"/>
      <c r="F42" s="62"/>
      <c r="G42" s="76"/>
    </row>
    <row r="43" spans="1:7" ht="24" customHeight="1" x14ac:dyDescent="0.25">
      <c r="A43" s="168" t="s">
        <v>330</v>
      </c>
      <c r="B43" s="169"/>
      <c r="C43" s="169"/>
      <c r="D43" s="169"/>
      <c r="E43" s="169"/>
      <c r="F43" s="169"/>
      <c r="G43" s="170"/>
    </row>
    <row r="44" spans="1:7" ht="44.1" customHeight="1" thickBot="1" x14ac:dyDescent="0.3">
      <c r="A44" s="171" t="s">
        <v>331</v>
      </c>
      <c r="B44" s="172"/>
      <c r="C44" s="172"/>
      <c r="D44" s="172"/>
      <c r="E44" s="172"/>
      <c r="F44" s="172"/>
      <c r="G44" s="173"/>
    </row>
    <row r="46" spans="1:7" x14ac:dyDescent="0.25">
      <c r="A46" s="94" t="s">
        <v>341</v>
      </c>
    </row>
    <row r="47" spans="1:7" ht="48.75" x14ac:dyDescent="0.25">
      <c r="A47" s="94" t="s">
        <v>340</v>
      </c>
    </row>
  </sheetData>
  <sheetProtection sheet="1" objects="1" scenarios="1"/>
  <mergeCells count="23">
    <mergeCell ref="A20:I20"/>
    <mergeCell ref="A4:G4"/>
    <mergeCell ref="A1:G1"/>
    <mergeCell ref="A2:B2"/>
    <mergeCell ref="C2:D2"/>
    <mergeCell ref="E2:G2"/>
    <mergeCell ref="A29:G29"/>
    <mergeCell ref="A18:G18"/>
    <mergeCell ref="A26:I26"/>
    <mergeCell ref="A43:G43"/>
    <mergeCell ref="A44:G44"/>
    <mergeCell ref="A17:G17"/>
    <mergeCell ref="A15:G15"/>
    <mergeCell ref="A36:G36"/>
    <mergeCell ref="A37:G37"/>
    <mergeCell ref="A39:G39"/>
    <mergeCell ref="A40:G40"/>
    <mergeCell ref="A41:G41"/>
    <mergeCell ref="A30:G30"/>
    <mergeCell ref="A31:G31"/>
    <mergeCell ref="A33:G33"/>
    <mergeCell ref="A34:G34"/>
    <mergeCell ref="A35:G35"/>
  </mergeCells>
  <conditionalFormatting sqref="B14:G14">
    <cfRule type="containsText" dxfId="9" priority="1" operator="containsText" text="Finalista">
      <formula>NOT(ISERROR(SEARCH("Finalista",B14)))</formula>
    </cfRule>
    <cfRule type="containsText" dxfId="8" priority="2" operator="containsText" text="Descartada">
      <formula>NOT(ISERROR(SEARCH("Descartada",B14)))</formula>
    </cfRule>
  </conditionalFormatting>
  <conditionalFormatting sqref="B11:G11">
    <cfRule type="top10" dxfId="5" priority="3" rank="2"/>
  </conditionalFormatting>
  <conditionalFormatting sqref="B12:G12">
    <cfRule type="top10" dxfId="4" priority="4" rank="2"/>
  </conditionalFormatting>
  <dataValidations count="1">
    <dataValidation type="list" allowBlank="1" showErrorMessage="1" errorTitle="Opção inválida" error="Escolha uma das opções: —, 🏆 Finalista ou ❌ Descartada" promptTitle="Decisão" prompt="Escolha Finalista para as 2 propostas selecionadas para a última rodada" sqref="B14:G14" xr:uid="{151AF3BC-BA8E-4A10-9756-B71F09194FF7}">
      <formula1>"—,🏆 Finalista,❌ Descartada"</formula1>
    </dataValidation>
  </dataValidations>
  <hyperlinks>
    <hyperlink ref="A2" location="'🏠 Início'!A1" display="🏠 Início" xr:uid="{3A8A7071-A971-4203-98E1-A44D2434DB2B}"/>
    <hyperlink ref="C2" location="'Avaliação Empresas'!A1" display="📊 Ver Avaliação Empresas" xr:uid="{A27828A8-3BC7-49B1-9720-BDBB5809CC20}"/>
    <hyperlink ref="E2" location="'Avaliação Tecnológica'!A1" display="📊 Ver Avaliação Tecnológica" xr:uid="{7DC05118-DDED-42D7-BA9E-33DC720A701A}"/>
  </hyperlinks>
  <pageMargins left="0.75" right="0.75" top="1" bottom="1"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E2FB9-D4A6-4797-B44B-5322752E2761}">
  <sheetPr codeName="Planilha9">
    <tabColor rgb="FF888888"/>
  </sheetPr>
  <dimension ref="A1:C43"/>
  <sheetViews>
    <sheetView topLeftCell="A19" workbookViewId="0">
      <selection activeCell="D35" sqref="D35"/>
    </sheetView>
  </sheetViews>
  <sheetFormatPr defaultRowHeight="15" x14ac:dyDescent="0.25"/>
  <cols>
    <col min="1" max="1" width="53.28515625" customWidth="1"/>
    <col min="2" max="2" width="18.140625" customWidth="1"/>
    <col min="3" max="3" width="72.42578125" customWidth="1"/>
  </cols>
  <sheetData>
    <row r="1" spans="1:3" ht="33.950000000000003" customHeight="1" thickBot="1" x14ac:dyDescent="0.3">
      <c r="A1" s="200" t="s">
        <v>224</v>
      </c>
      <c r="B1" s="201"/>
      <c r="C1" s="202"/>
    </row>
    <row r="2" spans="1:3" ht="26.1" customHeight="1" x14ac:dyDescent="0.25">
      <c r="A2" s="203" t="s">
        <v>225</v>
      </c>
      <c r="B2" s="204"/>
      <c r="C2" s="205"/>
    </row>
    <row r="3" spans="1:3" ht="24" customHeight="1" x14ac:dyDescent="0.25">
      <c r="A3" s="39" t="s">
        <v>226</v>
      </c>
      <c r="B3" s="40" t="s">
        <v>83</v>
      </c>
      <c r="C3" s="41" t="s">
        <v>84</v>
      </c>
    </row>
    <row r="4" spans="1:3" ht="26.1" customHeight="1" x14ac:dyDescent="0.25">
      <c r="A4" s="42"/>
      <c r="B4" s="43">
        <v>10</v>
      </c>
      <c r="C4" s="44" t="s">
        <v>86</v>
      </c>
    </row>
    <row r="5" spans="1:3" ht="26.1" customHeight="1" x14ac:dyDescent="0.25">
      <c r="A5" s="45" t="s">
        <v>227</v>
      </c>
      <c r="B5" s="46">
        <v>5</v>
      </c>
      <c r="C5" s="47" t="s">
        <v>87</v>
      </c>
    </row>
    <row r="6" spans="1:3" ht="26.1" customHeight="1" x14ac:dyDescent="0.25">
      <c r="A6" s="42" t="s">
        <v>0</v>
      </c>
      <c r="B6" s="43" t="s">
        <v>228</v>
      </c>
      <c r="C6" s="44" t="s">
        <v>229</v>
      </c>
    </row>
    <row r="7" spans="1:3" ht="26.1" customHeight="1" x14ac:dyDescent="0.25">
      <c r="A7" s="45" t="s">
        <v>85</v>
      </c>
      <c r="B7" s="46" t="s">
        <v>230</v>
      </c>
      <c r="C7" s="47" t="s">
        <v>231</v>
      </c>
    </row>
    <row r="8" spans="1:3" ht="26.1" customHeight="1" x14ac:dyDescent="0.25">
      <c r="A8" s="42" t="s">
        <v>4</v>
      </c>
      <c r="B8" s="43" t="s">
        <v>232</v>
      </c>
      <c r="C8" s="44" t="s">
        <v>233</v>
      </c>
    </row>
    <row r="9" spans="1:3" ht="26.1" customHeight="1" x14ac:dyDescent="0.25">
      <c r="A9" s="45" t="s">
        <v>234</v>
      </c>
      <c r="B9" s="46" t="s">
        <v>235</v>
      </c>
      <c r="C9" s="47" t="s">
        <v>236</v>
      </c>
    </row>
    <row r="10" spans="1:3" ht="26.1" customHeight="1" x14ac:dyDescent="0.25">
      <c r="A10" s="42" t="s">
        <v>237</v>
      </c>
      <c r="B10" s="43" t="s">
        <v>238</v>
      </c>
      <c r="C10" s="44" t="s">
        <v>239</v>
      </c>
    </row>
    <row r="11" spans="1:3" ht="26.1" customHeight="1" x14ac:dyDescent="0.25">
      <c r="A11" s="45" t="s">
        <v>240</v>
      </c>
      <c r="B11" s="46" t="s">
        <v>241</v>
      </c>
      <c r="C11" s="47" t="s">
        <v>242</v>
      </c>
    </row>
    <row r="12" spans="1:3" ht="26.1" customHeight="1" x14ac:dyDescent="0.25">
      <c r="A12" s="42" t="s">
        <v>243</v>
      </c>
      <c r="B12" s="43" t="s">
        <v>244</v>
      </c>
      <c r="C12" s="44" t="s">
        <v>245</v>
      </c>
    </row>
    <row r="13" spans="1:3" ht="26.1" customHeight="1" x14ac:dyDescent="0.25">
      <c r="A13" s="45" t="s">
        <v>246</v>
      </c>
      <c r="B13" s="46" t="s">
        <v>247</v>
      </c>
      <c r="C13" s="47" t="s">
        <v>248</v>
      </c>
    </row>
    <row r="14" spans="1:3" ht="26.1" customHeight="1" x14ac:dyDescent="0.25">
      <c r="A14" s="42" t="s">
        <v>249</v>
      </c>
      <c r="B14" s="43" t="s">
        <v>250</v>
      </c>
      <c r="C14" s="44" t="s">
        <v>251</v>
      </c>
    </row>
    <row r="15" spans="1:3" ht="26.1" customHeight="1" x14ac:dyDescent="0.25">
      <c r="A15" s="45" t="s">
        <v>252</v>
      </c>
      <c r="B15" s="46" t="s">
        <v>235</v>
      </c>
      <c r="C15" s="47" t="s">
        <v>253</v>
      </c>
    </row>
    <row r="16" spans="1:3" ht="26.1" customHeight="1" x14ac:dyDescent="0.25">
      <c r="A16" s="42" t="s">
        <v>18</v>
      </c>
      <c r="B16" s="43" t="s">
        <v>254</v>
      </c>
      <c r="C16" s="44" t="s">
        <v>255</v>
      </c>
    </row>
    <row r="17" spans="1:3" ht="26.1" customHeight="1" thickBot="1" x14ac:dyDescent="0.3">
      <c r="A17" s="25" t="s">
        <v>88</v>
      </c>
      <c r="B17" s="26" t="s">
        <v>235</v>
      </c>
      <c r="C17" s="48" t="s">
        <v>256</v>
      </c>
    </row>
    <row r="18" spans="1:3" ht="15.75" thickBot="1" x14ac:dyDescent="0.3">
      <c r="A18" s="49" t="s">
        <v>257</v>
      </c>
      <c r="B18" s="50" t="s">
        <v>258</v>
      </c>
      <c r="C18" s="49" t="s">
        <v>259</v>
      </c>
    </row>
    <row r="19" spans="1:3" ht="26.1" customHeight="1" x14ac:dyDescent="0.25">
      <c r="A19" s="206" t="s">
        <v>260</v>
      </c>
      <c r="B19" s="207"/>
      <c r="C19" s="208"/>
    </row>
    <row r="20" spans="1:3" ht="24" customHeight="1" x14ac:dyDescent="0.25">
      <c r="A20" s="51"/>
      <c r="B20" s="40" t="s">
        <v>83</v>
      </c>
      <c r="C20" s="41" t="s">
        <v>84</v>
      </c>
    </row>
    <row r="21" spans="1:3" ht="26.1" customHeight="1" x14ac:dyDescent="0.25">
      <c r="A21" s="45" t="s">
        <v>261</v>
      </c>
      <c r="B21" s="46">
        <v>10</v>
      </c>
      <c r="C21" s="47" t="s">
        <v>90</v>
      </c>
    </row>
    <row r="22" spans="1:3" ht="26.1" customHeight="1" x14ac:dyDescent="0.25">
      <c r="A22" s="42" t="s">
        <v>0</v>
      </c>
      <c r="B22" s="43" t="s">
        <v>228</v>
      </c>
      <c r="C22" s="44" t="s">
        <v>229</v>
      </c>
    </row>
    <row r="23" spans="1:3" ht="26.1" customHeight="1" x14ac:dyDescent="0.25">
      <c r="A23" s="45" t="s">
        <v>89</v>
      </c>
      <c r="B23" s="46" t="s">
        <v>262</v>
      </c>
      <c r="C23" s="47" t="s">
        <v>263</v>
      </c>
    </row>
    <row r="24" spans="1:3" ht="26.1" customHeight="1" x14ac:dyDescent="0.25">
      <c r="A24" s="42" t="s">
        <v>264</v>
      </c>
      <c r="B24" s="43" t="s">
        <v>265</v>
      </c>
      <c r="C24" s="44" t="s">
        <v>266</v>
      </c>
    </row>
    <row r="25" spans="1:3" ht="26.1" customHeight="1" x14ac:dyDescent="0.25">
      <c r="A25" s="45" t="s">
        <v>267</v>
      </c>
      <c r="B25" s="46" t="s">
        <v>268</v>
      </c>
      <c r="C25" s="47" t="s">
        <v>269</v>
      </c>
    </row>
    <row r="26" spans="1:3" ht="26.1" customHeight="1" x14ac:dyDescent="0.25">
      <c r="A26" s="42" t="s">
        <v>91</v>
      </c>
      <c r="B26" s="43" t="s">
        <v>270</v>
      </c>
      <c r="C26" s="44" t="s">
        <v>271</v>
      </c>
    </row>
    <row r="27" spans="1:3" ht="26.1" customHeight="1" x14ac:dyDescent="0.25">
      <c r="A27" s="45" t="s">
        <v>92</v>
      </c>
      <c r="B27" s="46" t="s">
        <v>272</v>
      </c>
      <c r="C27" s="47" t="s">
        <v>273</v>
      </c>
    </row>
    <row r="28" spans="1:3" ht="26.1" customHeight="1" x14ac:dyDescent="0.25">
      <c r="A28" s="42" t="s">
        <v>274</v>
      </c>
      <c r="B28" s="43" t="s">
        <v>275</v>
      </c>
      <c r="C28" s="44" t="s">
        <v>276</v>
      </c>
    </row>
    <row r="29" spans="1:3" ht="26.1" customHeight="1" x14ac:dyDescent="0.25">
      <c r="A29" s="45" t="s">
        <v>93</v>
      </c>
      <c r="B29" s="46" t="s">
        <v>277</v>
      </c>
      <c r="C29" s="47" t="s">
        <v>278</v>
      </c>
    </row>
    <row r="30" spans="1:3" ht="26.1" customHeight="1" x14ac:dyDescent="0.25">
      <c r="A30" s="42" t="s">
        <v>279</v>
      </c>
      <c r="B30" s="43" t="s">
        <v>280</v>
      </c>
      <c r="C30" s="44" t="s">
        <v>281</v>
      </c>
    </row>
    <row r="31" spans="1:3" ht="26.1" customHeight="1" x14ac:dyDescent="0.25">
      <c r="A31" s="45" t="s">
        <v>94</v>
      </c>
      <c r="B31" s="46" t="s">
        <v>282</v>
      </c>
      <c r="C31" s="47" t="s">
        <v>283</v>
      </c>
    </row>
    <row r="32" spans="1:3" ht="26.1" customHeight="1" x14ac:dyDescent="0.25">
      <c r="A32" s="42" t="s">
        <v>284</v>
      </c>
      <c r="B32" s="43" t="s">
        <v>285</v>
      </c>
      <c r="C32" s="44" t="s">
        <v>286</v>
      </c>
    </row>
    <row r="33" spans="1:3" ht="26.1" customHeight="1" x14ac:dyDescent="0.25">
      <c r="A33" s="45" t="s">
        <v>95</v>
      </c>
      <c r="B33" s="46" t="s">
        <v>287</v>
      </c>
      <c r="C33" s="47" t="s">
        <v>288</v>
      </c>
    </row>
    <row r="34" spans="1:3" ht="26.1" customHeight="1" x14ac:dyDescent="0.25">
      <c r="A34" s="42" t="s">
        <v>96</v>
      </c>
      <c r="B34" s="43" t="s">
        <v>289</v>
      </c>
      <c r="C34" s="44" t="s">
        <v>271</v>
      </c>
    </row>
    <row r="35" spans="1:3" ht="26.1" customHeight="1" x14ac:dyDescent="0.25">
      <c r="A35" s="45" t="s">
        <v>97</v>
      </c>
      <c r="B35" s="46" t="s">
        <v>290</v>
      </c>
      <c r="C35" s="47" t="s">
        <v>273</v>
      </c>
    </row>
    <row r="36" spans="1:3" ht="26.1" customHeight="1" x14ac:dyDescent="0.25">
      <c r="A36" s="42" t="s">
        <v>98</v>
      </c>
      <c r="B36" s="43" t="s">
        <v>291</v>
      </c>
      <c r="C36" s="44" t="s">
        <v>292</v>
      </c>
    </row>
    <row r="37" spans="1:3" ht="26.1" customHeight="1" x14ac:dyDescent="0.25">
      <c r="A37" s="45" t="s">
        <v>99</v>
      </c>
      <c r="B37" s="46" t="s">
        <v>293</v>
      </c>
      <c r="C37" s="47" t="s">
        <v>286</v>
      </c>
    </row>
    <row r="38" spans="1:3" ht="26.1" customHeight="1" x14ac:dyDescent="0.25">
      <c r="A38" s="42" t="s">
        <v>294</v>
      </c>
      <c r="B38" s="43" t="s">
        <v>295</v>
      </c>
      <c r="C38" s="44" t="s">
        <v>296</v>
      </c>
    </row>
    <row r="39" spans="1:3" ht="26.1" customHeight="1" x14ac:dyDescent="0.25">
      <c r="A39" s="45" t="s">
        <v>297</v>
      </c>
      <c r="B39" s="46" t="s">
        <v>298</v>
      </c>
      <c r="C39" s="47" t="s">
        <v>299</v>
      </c>
    </row>
    <row r="40" spans="1:3" ht="26.1" customHeight="1" thickBot="1" x14ac:dyDescent="0.3">
      <c r="A40" s="52" t="s">
        <v>300</v>
      </c>
      <c r="B40" s="26" t="s">
        <v>298</v>
      </c>
      <c r="C40" s="48" t="s">
        <v>299</v>
      </c>
    </row>
    <row r="42" spans="1:3" x14ac:dyDescent="0.25">
      <c r="A42" s="93" t="s">
        <v>339</v>
      </c>
    </row>
    <row r="43" spans="1:3" x14ac:dyDescent="0.25">
      <c r="A43" s="93" t="s">
        <v>340</v>
      </c>
    </row>
  </sheetData>
  <mergeCells count="3">
    <mergeCell ref="A1:C1"/>
    <mergeCell ref="A2:C2"/>
    <mergeCell ref="A19:C19"/>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Planilhas</vt:lpstr>
      </vt:variant>
      <vt:variant>
        <vt:i4>9</vt:i4>
      </vt:variant>
    </vt:vector>
  </HeadingPairs>
  <TitlesOfParts>
    <vt:vector size="9" baseType="lpstr">
      <vt:lpstr>🏠 Início</vt:lpstr>
      <vt:lpstr>Form. Empresa</vt:lpstr>
      <vt:lpstr>Avaliação Empresas</vt:lpstr>
      <vt:lpstr>Form. Tecnológico</vt:lpstr>
      <vt:lpstr>Avaliação Tecnológica</vt:lpstr>
      <vt:lpstr>Form. Financeiro</vt:lpstr>
      <vt:lpstr>Viabilidade Financeira</vt:lpstr>
      <vt:lpstr>Pontuação Geral</vt:lpstr>
      <vt:lpstr>Critérios de Pontuação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Gabriel Felix</cp:lastModifiedBy>
  <cp:revision>0</cp:revision>
  <dcterms:created xsi:type="dcterms:W3CDTF">2026-05-26T15:14:46Z</dcterms:created>
  <dcterms:modified xsi:type="dcterms:W3CDTF">2026-05-28T00:57:31Z</dcterms:modified>
  <dc:language>en-US</dc:language>
</cp:coreProperties>
</file>